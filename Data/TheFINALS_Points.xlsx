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GitHub\THE_FINALS-WorldTour-Calculator\Data\"/>
    </mc:Choice>
  </mc:AlternateContent>
  <xr:revisionPtr revIDLastSave="0" documentId="13_ncr:1_{673E1585-9EC4-4CDB-BB26-5714202D76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ster" sheetId="1" r:id="rId1"/>
    <sheet name="Daily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" i="2" l="1" a="1"/>
  <c r="AK18" i="2" s="1"/>
  <c r="AN18" i="2"/>
  <c r="AK17" i="2" a="1"/>
  <c r="AK17" i="2" s="1"/>
  <c r="AN17" i="2"/>
  <c r="AK16" i="2" a="1"/>
  <c r="AK16" i="2" s="1"/>
  <c r="AN16" i="2"/>
  <c r="AK15" i="2" a="1"/>
  <c r="AK15" i="2" s="1"/>
  <c r="AN15" i="2"/>
  <c r="AK14" i="2" a="1"/>
  <c r="AK14" i="2" s="1"/>
  <c r="AN14" i="2"/>
  <c r="AK13" i="2" a="1"/>
  <c r="AK13" i="2" s="1"/>
  <c r="AN13" i="2"/>
  <c r="AK12" i="2" a="1"/>
  <c r="AK12" i="2" s="1"/>
  <c r="AN12" i="2"/>
  <c r="AK11" i="2" a="1"/>
  <c r="AK11" i="2" s="1"/>
  <c r="AN11" i="2"/>
  <c r="AK10" i="2" a="1"/>
  <c r="AK10" i="2" s="1"/>
  <c r="AN10" i="2"/>
  <c r="AK9" i="2" a="1"/>
  <c r="AK9" i="2" s="1"/>
  <c r="AN9" i="2"/>
  <c r="AK8" i="2" a="1"/>
  <c r="AK8" i="2" s="1"/>
  <c r="AN8" i="2"/>
  <c r="AK7" i="2" a="1"/>
  <c r="AK7" i="2" s="1"/>
  <c r="AN7" i="2"/>
  <c r="AK6" i="2" a="1"/>
  <c r="AK6" i="2" s="1"/>
  <c r="AN6" i="2"/>
  <c r="AK5" i="2" a="1"/>
  <c r="AK5" i="2" s="1"/>
  <c r="AN5" i="2"/>
  <c r="AK4" i="2" a="1"/>
  <c r="AK4" i="2" s="1"/>
  <c r="AN4" i="2"/>
  <c r="AJ24" i="2"/>
  <c r="AJ19" i="2"/>
  <c r="AK24" i="2" s="1"/>
  <c r="AN3" i="2"/>
  <c r="AK3" i="2" a="1"/>
  <c r="AK3" i="2" s="1"/>
  <c r="AD6" i="2" a="1"/>
  <c r="AD6" i="2" s="1"/>
  <c r="AG6" i="2"/>
  <c r="AD5" i="2" a="1"/>
  <c r="AD5" i="2" s="1"/>
  <c r="AG5" i="2"/>
  <c r="AD4" i="2" a="1"/>
  <c r="AD4" i="2" s="1"/>
  <c r="AG4" i="2"/>
  <c r="V11" i="2"/>
  <c r="B5" i="1" s="1"/>
  <c r="AC12" i="2"/>
  <c r="AC7" i="2"/>
  <c r="AD12" i="2" s="1"/>
  <c r="AG3" i="2"/>
  <c r="AD3" i="2" a="1"/>
  <c r="AD3" i="2" s="1"/>
  <c r="W10" i="2" a="1"/>
  <c r="W10" i="2" s="1"/>
  <c r="Z10" i="2"/>
  <c r="V16" i="2"/>
  <c r="O18" i="2"/>
  <c r="H14" i="2"/>
  <c r="A30" i="2"/>
  <c r="W9" i="2" a="1"/>
  <c r="W9" i="2" s="1"/>
  <c r="Z9" i="2"/>
  <c r="W8" i="2" a="1"/>
  <c r="W8" i="2" s="1"/>
  <c r="Z8" i="2"/>
  <c r="W7" i="2" a="1"/>
  <c r="W7" i="2" s="1"/>
  <c r="Z7" i="2"/>
  <c r="W6" i="2" a="1"/>
  <c r="W6" i="2" s="1"/>
  <c r="Z6" i="2"/>
  <c r="W5" i="2" a="1"/>
  <c r="W5" i="2" s="1"/>
  <c r="Z5" i="2"/>
  <c r="W4" i="2" a="1"/>
  <c r="W4" i="2" s="1"/>
  <c r="Z4" i="2"/>
  <c r="Z3" i="2"/>
  <c r="W3" i="2" a="1"/>
  <c r="W3" i="2" s="1"/>
  <c r="P12" i="2" a="1"/>
  <c r="P12" i="2" s="1"/>
  <c r="S12" i="2"/>
  <c r="P11" i="2" a="1"/>
  <c r="P11" i="2" s="1"/>
  <c r="S11" i="2"/>
  <c r="P10" i="2" a="1"/>
  <c r="P10" i="2" s="1"/>
  <c r="S10" i="2"/>
  <c r="P9" i="2" a="1"/>
  <c r="P9" i="2" s="1"/>
  <c r="S9" i="2"/>
  <c r="P8" i="2" a="1"/>
  <c r="P8" i="2" s="1"/>
  <c r="S8" i="2"/>
  <c r="P7" i="2" a="1"/>
  <c r="P7" i="2" s="1"/>
  <c r="S7" i="2"/>
  <c r="P6" i="2" a="1"/>
  <c r="P6" i="2" s="1"/>
  <c r="S6" i="2"/>
  <c r="P5" i="2" a="1"/>
  <c r="P5" i="2" s="1"/>
  <c r="S5" i="2"/>
  <c r="P4" i="2" a="1"/>
  <c r="P4" i="2" s="1"/>
  <c r="S4" i="2"/>
  <c r="O13" i="2"/>
  <c r="B4" i="1" s="1"/>
  <c r="S3" i="2"/>
  <c r="P3" i="2" a="1"/>
  <c r="P3" i="2" s="1"/>
  <c r="I8" i="2" a="1"/>
  <c r="I8" i="2" s="1"/>
  <c r="L8" i="2"/>
  <c r="I7" i="2" a="1"/>
  <c r="I7" i="2" s="1"/>
  <c r="L7" i="2"/>
  <c r="I6" i="2" a="1"/>
  <c r="I6" i="2" s="1"/>
  <c r="L6" i="2"/>
  <c r="I5" i="2" a="1"/>
  <c r="I5" i="2" s="1"/>
  <c r="L5" i="2"/>
  <c r="I4" i="2" a="1"/>
  <c r="I4" i="2" s="1"/>
  <c r="L4" i="2"/>
  <c r="H9" i="2"/>
  <c r="B3" i="1" s="1"/>
  <c r="L3" i="2"/>
  <c r="I3" i="2" a="1"/>
  <c r="I3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A25" i="2"/>
  <c r="B2" i="1" s="1"/>
  <c r="AN19" i="2" l="1"/>
  <c r="D7" i="1" s="1"/>
  <c r="B7" i="1"/>
  <c r="AK19" i="2"/>
  <c r="C7" i="1" s="1"/>
  <c r="AG7" i="2"/>
  <c r="D6" i="1" s="1"/>
  <c r="Z11" i="2"/>
  <c r="Z12" i="2" s="1"/>
  <c r="W11" i="2"/>
  <c r="C5" i="1" s="1"/>
  <c r="B6" i="1"/>
  <c r="B8" i="1" s="1"/>
  <c r="AD7" i="2"/>
  <c r="C6" i="1" s="1"/>
  <c r="AE9" i="2"/>
  <c r="AG8" i="2"/>
  <c r="AF9" i="2"/>
  <c r="B30" i="2"/>
  <c r="I14" i="2"/>
  <c r="P18" i="2"/>
  <c r="W16" i="2"/>
  <c r="P13" i="2"/>
  <c r="C4" i="1" s="1"/>
  <c r="S13" i="2"/>
  <c r="L9" i="2"/>
  <c r="I9" i="2"/>
  <c r="C3" i="1" s="1"/>
  <c r="E25" i="2"/>
  <c r="B25" i="2"/>
  <c r="C2" i="1" s="1"/>
  <c r="AN20" i="2" l="1"/>
  <c r="AM21" i="2"/>
  <c r="AL21" i="2"/>
  <c r="AJ21" i="2"/>
  <c r="AK21" i="2"/>
  <c r="AD9" i="2"/>
  <c r="AC9" i="2"/>
  <c r="D5" i="1"/>
  <c r="Y13" i="2"/>
  <c r="X13" i="2"/>
  <c r="J11" i="2"/>
  <c r="H11" i="2"/>
  <c r="O15" i="2"/>
  <c r="Q15" i="2"/>
  <c r="C27" i="2"/>
  <c r="A27" i="2"/>
  <c r="C8" i="1"/>
  <c r="H2" i="1" s="1"/>
  <c r="I11" i="2"/>
  <c r="P15" i="2"/>
  <c r="D27" i="2"/>
  <c r="K11" i="2"/>
  <c r="R15" i="2"/>
  <c r="B27" i="2"/>
  <c r="W13" i="2"/>
  <c r="V13" i="2"/>
  <c r="L10" i="2"/>
  <c r="D3" i="1"/>
  <c r="S14" i="2"/>
  <c r="D4" i="1"/>
  <c r="E26" i="2"/>
  <c r="D2" i="1"/>
  <c r="D8" i="1" l="1"/>
  <c r="I2" i="1" s="1"/>
  <c r="I3" i="1" s="1" a="1"/>
  <c r="I3" i="1" s="1"/>
  <c r="D9" i="1" l="1"/>
  <c r="G2" i="1"/>
  <c r="G3" i="1" s="1" a="1"/>
  <c r="G3" i="1" s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<sst xmlns="http://schemas.openxmlformats.org/spreadsheetml/2006/main" count="87" uniqueCount="26">
  <si>
    <t>Total Points</t>
  </si>
  <si>
    <t>Total</t>
  </si>
  <si>
    <t>Date</t>
  </si>
  <si>
    <t>November 6th</t>
  </si>
  <si>
    <t>November 7th</t>
  </si>
  <si>
    <t>November 9th</t>
  </si>
  <si>
    <t>Points</t>
  </si>
  <si>
    <t>End Time</t>
  </si>
  <si>
    <t>Start Time</t>
  </si>
  <si>
    <t>Playtime (Minutes)</t>
  </si>
  <si>
    <t>November 10th</t>
  </si>
  <si>
    <t>Total Playtime (Minutes)</t>
  </si>
  <si>
    <t>MPP</t>
  </si>
  <si>
    <t>PPM</t>
  </si>
  <si>
    <t>Minutes Per Point (MPP)</t>
  </si>
  <si>
    <t>Points Per Minute (PPM)</t>
  </si>
  <si>
    <t>Matches</t>
  </si>
  <si>
    <t>November 11th</t>
  </si>
  <si>
    <t>November 12th</t>
  </si>
  <si>
    <t>ART</t>
  </si>
  <si>
    <t>Rounds</t>
  </si>
  <si>
    <t>PPR</t>
  </si>
  <si>
    <t>Total Rounds</t>
  </si>
  <si>
    <t>Average Round Time (ART)</t>
  </si>
  <si>
    <t>Points Per Round (PPR)</t>
  </si>
  <si>
    <t>PPMatch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</si>
</sst>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1"/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applyAlignment="1"/>
    <xf numFmtId="0" fontId="0" fillId="0" borderId="0" xfId="0" applyNumberFormat="1" applyAlignment="1"/>
  </cellXfs>
  <cellStyles count="2">
    <cellStyle name="Hyperlink" xfId="1" builtinId="8"/>
    <cellStyle name="Normal" xfId="0" builtinId="0"/>
  </cellStyles>
  <dxfs count="26"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7E572-866D-47E4-922E-826821481817}" name="Totals" displayName="Totals" ref="A1:D8" totalsRowCount="1" headerRowDxfId="25">
  <autoFilter ref="A1:D7" xr:uid="{4C27E572-866D-47E4-922E-826821481817}">
    <filterColumn colId="0" hiddenButton="1"/>
    <filterColumn colId="1" hiddenButton="1"/>
    <filterColumn colId="2" hiddenButton="1"/>
    <filterColumn colId="3" hiddenButton="1"/>
  </autoFilter>
  <tableColumns count="4">
    <tableColumn id="4" xr3:uid="{3E2E434F-EB7C-4080-AFEA-6401292424D1}" name="Date" totalsRowLabel="Total"/>
    <tableColumn id="1" xr3:uid="{F17A2C25-1331-45B7-93CA-58341B49862D}" name="Total Points" totalsRowFunction="custom">
      <totalsRowFormula>SUM(Totals[Total Points])</totalsRowFormula>
    </tableColumn>
    <tableColumn id="2" xr3:uid="{40664CBD-E414-475B-A65B-20BCE21DEF0B}" name="Total Rounds" totalsRowFunction="custom" dataDxfId="0">
      <calculatedColumnFormula>November6[[#Totals],[Points]]</calculatedColumnFormula>
      <totalsRowFormula>SUM(Totals[Total Rounds])</totalsRowFormula>
    </tableColumn>
    <tableColumn id="3" xr3:uid="{C8AFE569-EB2B-4A94-8C17-1CF5EACFA5C3}" name="Total Playtime (Minutes)" totalsRowFunction="custom">
      <totalsRowFormula>SUM(Totals[Total Playtime (Minutes)])</totalsRowFormula>
    </tableColumn>
  </tableColumns>
  <tableStyleInfo name="TableStyleLight10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357DF9-4640-4E28-806E-EB6DD52A5BE7}" name="Averages" displayName="Averages" ref="G1:J2" headerRowDxfId="24">
  <autoFilter ref="G1:J2" xr:uid="{AF357DF9-4640-4E28-806E-EB6DD52A5BE7}">
    <filterColumn colId="0" hiddenButton="1"/>
    <filterColumn colId="1" hiddenButton="1"/>
    <filterColumn colId="2" hiddenButton="1"/>
    <filterColumn colId="3" hiddenButton="1"/>
  </autoFilter>
  <tableColumns count="4">
    <tableColumn id="1" xr3:uid="{0AA5346B-236D-4E0F-BA60-5AB0FC09F6C3}" name="Average Round Time (ART)" totalsRowFunction="custom" dataDxfId="23" totalsRowDxfId="22">
      <calculatedColumnFormula>Totals[[#Totals],[Total Playtime (Minutes)]]/Totals[[#Totals],[Total Rounds]]</calculatedColumnFormula>
      <totalsRowFormula array="1">INT(Averages[Average Round Time (ART)])&amp;" minutes"</totalsRowFormula>
    </tableColumn>
    <tableColumn id="2" xr3:uid="{E04C1373-75E0-4A6C-A2C9-4AA9B2CD365B}" name="Points Per Round (PPR)" dataDxfId="21">
      <calculatedColumnFormula>Totals[[#Totals],[Total Points]]/Totals[[#Totals],[Total Rounds]]</calculatedColumnFormula>
    </tableColumn>
    <tableColumn id="4" xr3:uid="{89B46B09-6052-4D3C-AAEC-F9A7E8580516}" name="Minutes Per Point (MPP)" dataDxfId="20">
      <calculatedColumnFormula>Totals[[#Totals],[Total Playtime (Minutes)]]/Totals[[#Totals],[Total Points]]</calculatedColumnFormula>
    </tableColumn>
    <tableColumn id="3" xr3:uid="{728FBC8B-7DB9-4E00-BB6D-2AFFBA13751D}" name="Points Per Minute (PPM)" dataDxfId="19">
      <calculatedColumnFormula>Totals[[#Totals],[Total Points]]/Totals[[#Totals],[Total Playtime (Minutes)]]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AD1EE-0CE2-409C-A2F6-F4A610CA243E}" name="November6" displayName="November6" ref="A2:E25" totalsRowCount="1" headerRowDxfId="18">
  <autoFilter ref="A2:E24" xr:uid="{EC6AD1EE-0CE2-409C-A2F6-F4A610CA243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66B94B4-B5FA-4886-9257-E9412E290946}" name="Points" totalsRowFunction="custom" dataDxfId="17">
      <totalsRowFormula>SUM(November6[Points])</totalsRowFormula>
    </tableColumn>
    <tableColumn id="2" xr3:uid="{73EA15C4-D270-483C-AF4F-24B0B93502DB}" name="Rounds" totalsRowFunction="custom" dataDxfId="16">
      <calculatedColumnFormula array="1">_xlfn.IFS(November6[[#This Row],[Points]]=2, 1, November6[[#This Row],[Points]]=6, 2, November6[[#This Row],[Points]]=14, 3, November6[[#This Row],[Points]]=25, 3)</calculatedColumnFormula>
      <totalsRowFormula>SUM(November6[Rounds])</totalsRowFormula>
    </tableColumn>
    <tableColumn id="4" xr3:uid="{B3F474C8-DDEB-4DBF-A1DC-4AFC668AED9D}" name="Start Time"/>
    <tableColumn id="5" xr3:uid="{8665BCD7-C389-46C0-8A10-F495D85709FF}" name="End Time"/>
    <tableColumn id="6" xr3:uid="{5DE48718-2A9C-4594-A3FE-0C43DCAFF2C2}" name="Playtime (Minutes)" totalsRowFunction="custom">
      <calculatedColumnFormula xml:space="preserve"> (INT(November6[[#This Row],[End Time]]/100)*60 + MOD(November6[[#This Row],[End Time]],100)) - (INT(November6[[#This Row],[Start Time]]/100)*60 + MOD(November6[[#This Row],[Start Time]],100))</calculatedColumnFormula>
      <totalsRowFormula>SUM(November6[Playtime (Minutes)])</totalsRowFormula>
    </tableColumn>
  </tableColumns>
  <tableStyleInfo name="TableStyleLight13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1DD5A8-F444-41F1-96C1-7AE436664A9D}" name="November7" displayName="November7" ref="H2:L9" totalsRowCount="1" headerRowDxfId="15">
  <autoFilter ref="H2:L8" xr:uid="{661DD5A8-F444-41F1-96C1-7AE436664A9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89E074E-4750-48A3-A073-819989626FA6}" name="Points" totalsRowFunction="custom" dataDxfId="14">
      <totalsRowFormula>SUM(November7[Points])</totalsRowFormula>
    </tableColumn>
    <tableColumn id="2" xr3:uid="{D7CDB5A2-50B5-4939-8668-1785714D08C7}" name="Rounds" totalsRowFunction="custom" dataDxfId="13">
      <calculatedColumnFormula array="1">_xlfn.IFS(November7[[#This Row],[Points]]=2, 1, November7[[#This Row],[Points]]=6, 2, November7[[#This Row],[Points]]=14, 3, November7[[#This Row],[Points]]=25, 3)</calculatedColumnFormula>
      <totalsRowFormula>SUM(November7[Rounds])</totalsRowFormula>
    </tableColumn>
    <tableColumn id="4" xr3:uid="{28309402-7EF3-454D-883F-D251D524A71A}" name="Start Time"/>
    <tableColumn id="5" xr3:uid="{74A71E4E-B89F-47C8-B7A2-E5012A8EEFF3}" name="End Time"/>
    <tableColumn id="6" xr3:uid="{5610F31C-E244-4937-8B69-B467C9F24C5D}" name="Playtime (Minutes)" totalsRowFunction="custom">
      <calculatedColumnFormula xml:space="preserve"> (INT(November7[[#This Row],[End Time]]/100)*60 + MOD(November7[[#This Row],[End Time]],100)) - (INT(November7[[#This Row],[Start Time]]/100)*60 + MOD(November7[[#This Row],[Start Time]],100))</calculatedColumnFormula>
      <totalsRowFormula>SUM(November7[Playtime (Minutes)])</totalsRowFormula>
    </tableColumn>
  </tableColumns>
  <tableStyleInfo name="TableStyleLight13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5DD4E2-B7B0-4DFF-9A0B-14FA157A8394}" name="November9" displayName="November9" ref="O2:S13" totalsRowCount="1" headerRowDxfId="12">
  <autoFilter ref="O2:S12" xr:uid="{E65DD4E2-B7B0-4DFF-9A0B-14FA157A839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DE914EB-DF9D-42C8-A121-6BDB5A6D584A}" name="Points" totalsRowFunction="custom" dataDxfId="11">
      <totalsRowFormula>SUM(November9[Points])</totalsRowFormula>
    </tableColumn>
    <tableColumn id="2" xr3:uid="{423C97EA-A31A-446C-BECE-2F0330150ABC}" name="Rounds" totalsRowFunction="custom" dataDxfId="10">
      <calculatedColumnFormula array="1">_xlfn.IFS(November9[[#This Row],[Points]]=2, 1, November9[[#This Row],[Points]]=6, 2, November9[[#This Row],[Points]]=14, 3, November9[[#This Row],[Points]]=25, 3)</calculatedColumnFormula>
      <totalsRowFormula>SUM(November9[Rounds])</totalsRowFormula>
    </tableColumn>
    <tableColumn id="4" xr3:uid="{C922EE3A-46E9-42C2-B0FC-BF56A61D0BD7}" name="Start Time"/>
    <tableColumn id="5" xr3:uid="{6E1643A5-7328-4CFF-9BB2-C0C48B9C9925}" name="End Time"/>
    <tableColumn id="6" xr3:uid="{F4DDC90C-E19C-46A6-93D1-39B9313C9028}" name="Playtime (Minutes)" totalsRowFunction="custom">
      <calculatedColumnFormula xml:space="preserve"> (INT(November9[[#This Row],[End Time]]/100)*60 + MOD(November9[[#This Row],[End Time]],100)) - (INT(November9[[#This Row],[Start Time]]/100)*60 + MOD(November9[[#This Row],[Start Time]],100))</calculatedColumnFormula>
      <totalsRowFormula>SUM(November9[Playtime (Minutes)])</totalsRowFormula>
    </tableColumn>
  </tableColumns>
  <tableStyleInfo name="TableStyleLight13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490359-7E08-4CA3-9F95-FAFBADB3E82F}" name="November10" displayName="November10" ref="V2:Z11" totalsRowCount="1" headerRowDxfId="9">
  <autoFilter ref="V2:Z10" xr:uid="{B3490359-7E08-4CA3-9F95-FAFBADB3E82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2DBC3F1-720E-42A7-9B61-D5995B025F92}" name="Points" totalsRowFunction="custom" dataDxfId="8">
      <totalsRowFormula>SUM(November10[Points])</totalsRowFormula>
    </tableColumn>
    <tableColumn id="2" xr3:uid="{D4B36161-B381-44F4-8DD1-C5FEFF82C827}" name="Rounds" totalsRowFunction="custom" dataDxfId="7">
      <calculatedColumnFormula array="1">_xlfn.IFS(November10[[#This Row],[Points]]=2, 1, November10[[#This Row],[Points]]=6, 2, November10[[#This Row],[Points]]=14, 3, November10[[#This Row],[Points]]=25, 3)</calculatedColumnFormula>
      <totalsRowFormula>SUM(November10[Rounds])</totalsRowFormula>
    </tableColumn>
    <tableColumn id="4" xr3:uid="{F8CE62ED-FE69-4019-BE42-B64F0A253950}" name="Start Time"/>
    <tableColumn id="5" xr3:uid="{504A287C-496D-4EBC-8784-5941FCB774D0}" name="End Time"/>
    <tableColumn id="6" xr3:uid="{F8ED1A20-4635-4A6C-8262-26D3B0886256}" name="Playtime (Minutes)" totalsRowFunction="custom">
      <calculatedColumnFormula xml:space="preserve"> (INT(November10[[#This Row],[End Time]]/100)*60 + MOD(November10[[#This Row],[End Time]],100)) - (INT(November10[[#This Row],[Start Time]]/100)*60 + MOD(November10[[#This Row],[Start Time]],100))</calculatedColumnFormula>
      <totalsRowFormula>SUM(November10[Playtime (Minutes)])</totalsRowFormula>
    </tableColumn>
  </tableColumns>
  <tableStyleInfo name="TableStyleLight13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8D98C7-5073-4B1B-8860-C9156B8B47F0}" name="November11" displayName="November11" ref="AC2:AG7" totalsRowCount="1" headerRowDxfId="6">
  <autoFilter ref="AC2:AG6" xr:uid="{128D98C7-5073-4B1B-8860-C9156B8B47F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7F8BEAD-5484-4181-AD6E-07482D69DE92}" name="Points" totalsRowFunction="custom" dataDxfId="5">
      <totalsRowFormula>SUM(November11[Points])</totalsRowFormula>
    </tableColumn>
    <tableColumn id="2" xr3:uid="{B6CD6212-DA43-4D8D-86AB-D2A238A82270}" name="Rounds" totalsRowFunction="custom" dataDxfId="4">
      <calculatedColumnFormula array="1">_xlfn.IFS(November11[[#This Row],[Points]]=2, 1, November11[[#This Row],[Points]]=6, 2, November11[[#This Row],[Points]]=14, 3, November11[[#This Row],[Points]]=25, 3)</calculatedColumnFormula>
      <totalsRowFormula>SUM(November11[Rounds])</totalsRowFormula>
    </tableColumn>
    <tableColumn id="4" xr3:uid="{398AD5BB-5E5F-4DE7-A1C9-5C90562A08F8}" name="Start Time"/>
    <tableColumn id="5" xr3:uid="{681F54AF-8DAF-4DFE-8FBC-A274A6DB355A}" name="End Time"/>
    <tableColumn id="6" xr3:uid="{99CB9CF4-605E-4FB4-A631-BF5DB7AAAD86}" name="Playtime (Minutes)" totalsRowFunction="custom">
      <calculatedColumnFormula xml:space="preserve"> (INT(November11[[#This Row],[End Time]]/100)*60 + MOD(November11[[#This Row],[End Time]],100)) - (INT(November11[[#This Row],[Start Time]]/100)*60 + MOD(November11[[#This Row],[Start Time]],100))</calculatedColumnFormula>
      <totalsRowFormula>SUM(November11[Playtime (Minutes)])</totalsRowFormula>
    </tableColumn>
  </tableColumns>
  <tableStyleInfo name="TableStyleLight13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053F8C-7BD7-43CB-9CBA-E4E1D9355DEA}" name="November12" displayName="November12" ref="AJ2:AN19" totalsRowCount="1" headerRowDxfId="3">
  <autoFilter ref="AJ2:AN18" xr:uid="{2E053F8C-7BD7-43CB-9CBA-E4E1D9355DE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44E0D43-C8A0-4D85-856E-A7D2DC9B8D3D}" name="Points" totalsRowFunction="custom" dataDxfId="2">
      <totalsRowFormula>SUM(November12[Points])</totalsRowFormula>
    </tableColumn>
    <tableColumn id="2" xr3:uid="{C285507D-7F2E-494A-B18F-9751931ED2F2}" name="Rounds" totalsRowFunction="custom" dataDxfId="1">
      <calculatedColumnFormula array="1">_xlfn.IFS(November12[[#This Row],[Points]]=2, 1, November12[[#This Row],[Points]]=6, 2, November12[[#This Row],[Points]]=14, 3, November12[[#This Row],[Points]]=25, 3)</calculatedColumnFormula>
      <totalsRowFormula>SUM(November12[Rounds])</totalsRowFormula>
    </tableColumn>
    <tableColumn id="4" xr3:uid="{703F9882-8D0B-4566-A4D1-DC01436CB3A3}" name="Start Time"/>
    <tableColumn id="5" xr3:uid="{EA54BF8D-F878-4E3F-8BE9-79266C12F399}" name="End Time"/>
    <tableColumn id="6" xr3:uid="{857A8EAE-ABC1-4607-94B3-5B1D8E129D98}" name="Playtime (Minutes)" totalsRowFunction="custom">
      <calculatedColumnFormula xml:space="preserve"> (INT(November12[[#This Row],[End Time]]/100)*60 + MOD(November12[[#This Row],[End Time]],100)) - (INT(November12[[#This Row],[Start Time]]/100)*60 + MOD(November12[[#This Row],[Start Time]],100))</calculatedColumnFormula>
      <totalsRowFormula>SUM(November12[Playtime (Minutes)])</totalsRowFormula>
    </tableColumn>
  </tableColumns>
  <tableStyleInfo name="TableStyleLight13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C25" sqref="C25"/>
    </sheetView>
  </sheetViews>
  <sheetFormatPr defaultRowHeight="15" x14ac:dyDescent="0.25"/>
  <cols>
    <col min="1" max="1" width="14.85546875" bestFit="1" customWidth="1"/>
    <col min="2" max="2" width="16" bestFit="1" customWidth="1"/>
    <col min="3" max="3" width="16.5703125" bestFit="1" customWidth="1"/>
    <col min="4" max="4" width="28" bestFit="1" customWidth="1"/>
    <col min="6" max="6" width="9.7109375" customWidth="1"/>
    <col min="7" max="7" width="29.42578125" bestFit="1" customWidth="1"/>
    <col min="8" max="8" width="26.28515625" bestFit="1" customWidth="1"/>
    <col min="9" max="10" width="28" bestFit="1" customWidth="1"/>
  </cols>
  <sheetData>
    <row r="1" spans="1:10" x14ac:dyDescent="0.25">
      <c r="A1" s="1" t="s">
        <v>2</v>
      </c>
      <c r="B1" s="1" t="s">
        <v>0</v>
      </c>
      <c r="C1" s="1" t="s">
        <v>22</v>
      </c>
      <c r="D1" s="1" t="s">
        <v>11</v>
      </c>
      <c r="G1" s="1" t="s">
        <v>23</v>
      </c>
      <c r="H1" s="1" t="s">
        <v>24</v>
      </c>
      <c r="I1" s="1" t="s">
        <v>14</v>
      </c>
      <c r="J1" s="1" t="s">
        <v>15</v>
      </c>
    </row>
    <row r="2" spans="1:10" x14ac:dyDescent="0.25">
      <c r="A2" s="2" t="s">
        <v>3</v>
      </c>
      <c r="B2">
        <f>November6[[#Totals],[Points]]</f>
        <v>141</v>
      </c>
      <c r="C2">
        <f>IFERROR(November6[[#Totals],[Rounds]], 0)</f>
        <v>34</v>
      </c>
      <c r="D2">
        <f>November6[[#Totals],[Playtime (Minutes)]]</f>
        <v>445</v>
      </c>
      <c r="G2" s="1">
        <f>Totals[[#Totals],[Total Playtime (Minutes)]]/Totals[[#Totals],[Total Rounds]]</f>
        <v>12.708333333333334</v>
      </c>
      <c r="H2" s="1">
        <f>Totals[[#Totals],[Total Points]]/Totals[[#Totals],[Total Rounds]]</f>
        <v>4.5999999999999996</v>
      </c>
      <c r="I2" s="1">
        <f>Totals[[#Totals],[Total Playtime (Minutes)]]/Totals[[#Totals],[Total Points]]</f>
        <v>2.76268115942029</v>
      </c>
      <c r="J2" s="1">
        <f>Totals[[#Totals],[Total Points]]/Totals[[#Totals],[Total Playtime (Minutes)]]</f>
        <v>0.3619672131147541</v>
      </c>
    </row>
    <row r="3" spans="1:10" x14ac:dyDescent="0.25">
      <c r="A3" s="2" t="s">
        <v>4</v>
      </c>
      <c r="B3">
        <f>November7[[#Totals],[Points]]</f>
        <v>59</v>
      </c>
      <c r="C3">
        <f>IFERROR(November7[[#Totals],[Rounds]], 0)</f>
        <v>13</v>
      </c>
      <c r="D3">
        <f>November7[[#Totals],[Playtime (Minutes)]]</f>
        <v>169</v>
      </c>
      <c r="G3" s="1" t="str" cm="1">
        <f t="array" ref="G3">INT(Averages[Average Round Time (ART)])&amp;" minutes"</f>
        <v>12 minutes</v>
      </c>
      <c r="I3" s="1" t="str" cm="1">
        <f t="array" ref="I3">INT(Averages[Minutes Per Point (MPP)])&amp;" minutes"</f>
        <v>2 minutes</v>
      </c>
    </row>
    <row r="4" spans="1:10" x14ac:dyDescent="0.25">
      <c r="A4" s="2" t="s">
        <v>5</v>
      </c>
      <c r="B4">
        <f>November9[[#Totals],[Points]]</f>
        <v>71</v>
      </c>
      <c r="C4">
        <f>IFERROR(November9[[#Totals],[Rounds]], 0)</f>
        <v>18</v>
      </c>
      <c r="D4">
        <f>November9[[#Totals],[Playtime (Minutes)]]</f>
        <v>232</v>
      </c>
    </row>
    <row r="5" spans="1:10" x14ac:dyDescent="0.25">
      <c r="A5" s="2" t="s">
        <v>10</v>
      </c>
      <c r="B5">
        <f>November10[[#Totals],[Points]]</f>
        <v>159</v>
      </c>
      <c r="C5">
        <f>IFERROR(November10[[#Totals],[Rounds]], 0)</f>
        <v>23</v>
      </c>
      <c r="D5">
        <f>November10[[#Totals],[Playtime (Minutes)]]</f>
        <v>271</v>
      </c>
    </row>
    <row r="6" spans="1:10" x14ac:dyDescent="0.25">
      <c r="A6" s="2" t="s">
        <v>17</v>
      </c>
      <c r="B6">
        <f>November11[[#Totals],[Points]]</f>
        <v>35</v>
      </c>
      <c r="C6">
        <f>IFERROR(November11[[#Totals],[Rounds]], 0)</f>
        <v>7</v>
      </c>
      <c r="D6">
        <f>November11[[#Totals],[Playtime (Minutes)]]</f>
        <v>90</v>
      </c>
    </row>
    <row r="7" spans="1:10" x14ac:dyDescent="0.25">
      <c r="A7" s="2" t="s">
        <v>18</v>
      </c>
      <c r="B7">
        <f>November12[[#Totals],[Points]]</f>
        <v>87</v>
      </c>
      <c r="C7" s="4">
        <f>IFERROR(November12[[#Totals],[Rounds]], 0)</f>
        <v>25</v>
      </c>
      <c r="D7">
        <f>November12[[#Totals],[Playtime (Minutes)]]</f>
        <v>318</v>
      </c>
    </row>
    <row r="8" spans="1:10" x14ac:dyDescent="0.25">
      <c r="A8" t="s">
        <v>1</v>
      </c>
      <c r="B8">
        <f>SUM(Totals[Total Points])</f>
        <v>552</v>
      </c>
      <c r="C8">
        <f>SUM(Totals[Total Rounds])</f>
        <v>120</v>
      </c>
      <c r="D8">
        <f>SUM(Totals[Total Playtime (Minutes)])</f>
        <v>1525</v>
      </c>
    </row>
    <row r="9" spans="1:10" x14ac:dyDescent="0.25">
      <c r="D9" s="1" t="str">
        <f>INT(Totals[[#Totals],[Total Playtime (Minutes)]]/60)&amp;" hours  "&amp;INT(MOD(Totals[[#Totals],[Total Playtime (Minutes)]],60))&amp;" minutes"</f>
        <v>25 hours  25 minutes</v>
      </c>
    </row>
  </sheetData>
  <hyperlinks>
    <hyperlink ref="A2" location="DailyData!A1" display="November 6th" xr:uid="{86AF320D-D903-476D-84F1-1BF05A1BF643}"/>
    <hyperlink ref="A3" location="DailyData!H1" display="November 7th" xr:uid="{AC8FC688-EBC1-4712-8089-FEE348D9964B}"/>
    <hyperlink ref="A4" location="DailyData!O1" display="November 9th" xr:uid="{9704D6B7-14DF-4C2C-BF93-C2230CF59ADA}"/>
    <hyperlink ref="A5" location="DailyData!V1" display="November 10th" xr:uid="{1B3FB756-63A6-46A9-8116-BFE00142D22A}"/>
    <hyperlink ref="A6" location="DailyData!AC1" display="November 11th" xr:uid="{323360C2-27FA-4A82-B965-6C0D4578D900}"/>
    <hyperlink ref="A7" location="DailyData!AJ1" display="November 12th" xr:uid="{A96A6C91-2AD1-4ACB-8C3D-DB67BA8A4289}"/>
  </hyperlinks>
  <pageMargins left="0.7" right="0.7" top="0.75" bottom="0.75" header="0.3" footer="0.3"/>
  <ignoredErrors>
    <ignoredError sqref="C5:C7 C2:C4" calculatedColum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EC57-E733-40D9-8A42-9901A7D36B8F}">
  <dimension ref="A1:AN30"/>
  <sheetViews>
    <sheetView tabSelected="1" topLeftCell="AA1" workbookViewId="0">
      <selection activeCell="AO19" sqref="AO19"/>
    </sheetView>
  </sheetViews>
  <sheetFormatPr defaultRowHeight="15" x14ac:dyDescent="0.25"/>
  <cols>
    <col min="1" max="2" width="11" customWidth="1"/>
    <col min="3" max="3" width="10.42578125" bestFit="1" customWidth="1"/>
    <col min="5" max="5" width="18.42578125" bestFit="1" customWidth="1"/>
    <col min="6" max="6" width="11.42578125" bestFit="1" customWidth="1"/>
    <col min="8" max="8" width="11.140625" bestFit="1" customWidth="1"/>
    <col min="9" max="9" width="11.7109375" bestFit="1" customWidth="1"/>
    <col min="10" max="10" width="12.28515625" bestFit="1" customWidth="1"/>
    <col min="11" max="11" width="11.42578125" bestFit="1" customWidth="1"/>
    <col min="12" max="12" width="20.7109375" bestFit="1" customWidth="1"/>
    <col min="15" max="15" width="11.140625" bestFit="1" customWidth="1"/>
    <col min="16" max="16" width="11.7109375" bestFit="1" customWidth="1"/>
    <col min="17" max="17" width="12.28515625" bestFit="1" customWidth="1"/>
    <col min="18" max="18" width="11.42578125" bestFit="1" customWidth="1"/>
    <col min="19" max="19" width="20.7109375" bestFit="1" customWidth="1"/>
    <col min="22" max="22" width="11.140625" bestFit="1" customWidth="1"/>
    <col min="23" max="23" width="11.7109375" bestFit="1" customWidth="1"/>
    <col min="24" max="24" width="14.5703125" bestFit="1" customWidth="1"/>
    <col min="25" max="25" width="13.7109375" bestFit="1" customWidth="1"/>
    <col min="26" max="26" width="23" bestFit="1" customWidth="1"/>
    <col min="29" max="29" width="11.140625" bestFit="1" customWidth="1"/>
    <col min="30" max="30" width="12" bestFit="1" customWidth="1"/>
    <col min="31" max="31" width="14.5703125" bestFit="1" customWidth="1"/>
    <col min="32" max="32" width="13.7109375" bestFit="1" customWidth="1"/>
    <col min="33" max="33" width="23" bestFit="1" customWidth="1"/>
    <col min="36" max="36" width="12" bestFit="1" customWidth="1"/>
    <col min="37" max="37" width="11.7109375" bestFit="1" customWidth="1"/>
    <col min="38" max="38" width="14.5703125" bestFit="1" customWidth="1"/>
    <col min="39" max="39" width="13.7109375" bestFit="1" customWidth="1"/>
    <col min="40" max="40" width="23" bestFit="1" customWidth="1"/>
  </cols>
  <sheetData>
    <row r="1" spans="1:40" ht="18.75" x14ac:dyDescent="0.25">
      <c r="A1" s="3" t="s">
        <v>3</v>
      </c>
      <c r="B1" s="3"/>
      <c r="C1" s="3"/>
      <c r="D1" s="3"/>
      <c r="E1" s="3"/>
      <c r="H1" s="3" t="s">
        <v>4</v>
      </c>
      <c r="I1" s="3"/>
      <c r="J1" s="3"/>
      <c r="K1" s="3"/>
      <c r="L1" s="3"/>
      <c r="O1" s="3" t="s">
        <v>5</v>
      </c>
      <c r="P1" s="3"/>
      <c r="Q1" s="3"/>
      <c r="R1" s="3"/>
      <c r="S1" s="3"/>
      <c r="V1" s="3" t="s">
        <v>10</v>
      </c>
      <c r="W1" s="3"/>
      <c r="X1" s="3"/>
      <c r="Y1" s="3"/>
      <c r="Z1" s="3"/>
      <c r="AC1" s="3" t="s">
        <v>17</v>
      </c>
      <c r="AD1" s="3"/>
      <c r="AE1" s="3"/>
      <c r="AF1" s="3"/>
      <c r="AG1" s="3"/>
      <c r="AJ1" s="3" t="s">
        <v>18</v>
      </c>
      <c r="AK1" s="3"/>
      <c r="AL1" s="3"/>
      <c r="AM1" s="3"/>
      <c r="AN1" s="3"/>
    </row>
    <row r="2" spans="1:40" x14ac:dyDescent="0.25">
      <c r="A2" s="1" t="s">
        <v>6</v>
      </c>
      <c r="B2" s="1" t="s">
        <v>20</v>
      </c>
      <c r="C2" s="1" t="s">
        <v>8</v>
      </c>
      <c r="D2" s="1" t="s">
        <v>7</v>
      </c>
      <c r="E2" s="1" t="s">
        <v>9</v>
      </c>
      <c r="H2" s="1" t="s">
        <v>6</v>
      </c>
      <c r="I2" s="1" t="s">
        <v>20</v>
      </c>
      <c r="J2" s="1" t="s">
        <v>8</v>
      </c>
      <c r="K2" s="1" t="s">
        <v>7</v>
      </c>
      <c r="L2" s="1" t="s">
        <v>9</v>
      </c>
      <c r="O2" s="1" t="s">
        <v>6</v>
      </c>
      <c r="P2" s="1" t="s">
        <v>20</v>
      </c>
      <c r="Q2" s="1" t="s">
        <v>8</v>
      </c>
      <c r="R2" s="1" t="s">
        <v>7</v>
      </c>
      <c r="S2" s="1" t="s">
        <v>9</v>
      </c>
      <c r="V2" s="1" t="s">
        <v>6</v>
      </c>
      <c r="W2" s="1" t="s">
        <v>20</v>
      </c>
      <c r="X2" s="1" t="s">
        <v>8</v>
      </c>
      <c r="Y2" s="1" t="s">
        <v>7</v>
      </c>
      <c r="Z2" s="1" t="s">
        <v>9</v>
      </c>
      <c r="AC2" s="1" t="s">
        <v>6</v>
      </c>
      <c r="AD2" s="1" t="s">
        <v>20</v>
      </c>
      <c r="AE2" s="1" t="s">
        <v>8</v>
      </c>
      <c r="AF2" s="1" t="s">
        <v>7</v>
      </c>
      <c r="AG2" s="1" t="s">
        <v>9</v>
      </c>
      <c r="AJ2" s="1" t="s">
        <v>6</v>
      </c>
      <c r="AK2" s="1" t="s">
        <v>20</v>
      </c>
      <c r="AL2" s="1" t="s">
        <v>8</v>
      </c>
      <c r="AM2" s="1" t="s">
        <v>7</v>
      </c>
      <c r="AN2" s="1" t="s">
        <v>9</v>
      </c>
    </row>
    <row r="3" spans="1:40" x14ac:dyDescent="0.25">
      <c r="A3">
        <v>2</v>
      </c>
      <c r="B3" cm="1">
        <f t="array" ref="B3">_xlfn.IFS(November6[[#This Row],[Points]]=2, 1, November6[[#This Row],[Points]]=6, 2, November6[[#This Row],[Points]]=14, 3, November6[[#This Row],[Points]]=25, 3)</f>
        <v>1</v>
      </c>
      <c r="C3">
        <v>1210</v>
      </c>
      <c r="D3">
        <v>1501</v>
      </c>
      <c r="E3">
        <f xml:space="preserve"> (INT(November6[[#This Row],[End Time]]/100)*60 + MOD(November6[[#This Row],[End Time]],100)) - (INT(November6[[#This Row],[Start Time]]/100)*60 + MOD(November6[[#This Row],[Start Time]],100))</f>
        <v>171</v>
      </c>
      <c r="H3">
        <v>25</v>
      </c>
      <c r="I3" cm="1">
        <f t="array" ref="I3">_xlfn.IFS(November7[[#This Row],[Points]]=2, 1, November7[[#This Row],[Points]]=6, 2, November7[[#This Row],[Points]]=14, 3, November7[[#This Row],[Points]]=25, 3)</f>
        <v>3</v>
      </c>
      <c r="J3">
        <v>1305</v>
      </c>
      <c r="K3">
        <v>1343</v>
      </c>
      <c r="L3">
        <f xml:space="preserve"> (INT(November7[[#This Row],[End Time]]/100)*60 + MOD(November7[[#This Row],[End Time]],100)) - (INT(November7[[#This Row],[Start Time]]/100)*60 + MOD(November7[[#This Row],[Start Time]],100))</f>
        <v>38</v>
      </c>
      <c r="O3">
        <v>25</v>
      </c>
      <c r="P3" cm="1">
        <f t="array" ref="P3">_xlfn.IFS(November9[[#This Row],[Points]]=2, 1, November9[[#This Row],[Points]]=6, 2, November9[[#This Row],[Points]]=14, 3, November9[[#This Row],[Points]]=25, 3)</f>
        <v>3</v>
      </c>
      <c r="Q3">
        <v>1156</v>
      </c>
      <c r="R3">
        <v>1548</v>
      </c>
      <c r="S3">
        <f xml:space="preserve"> (INT(November9[[#This Row],[End Time]]/100)*60 + MOD(November9[[#This Row],[End Time]],100)) - (INT(November9[[#This Row],[Start Time]]/100)*60 + MOD(November9[[#This Row],[Start Time]],100))</f>
        <v>232</v>
      </c>
      <c r="V3">
        <v>14</v>
      </c>
      <c r="W3" cm="1">
        <f t="array" ref="W3">_xlfn.IFS(November10[[#This Row],[Points]]=2, 1, November10[[#This Row],[Points]]=6, 2, November10[[#This Row],[Points]]=14, 3, November10[[#This Row],[Points]]=25, 3)</f>
        <v>3</v>
      </c>
      <c r="X3">
        <v>1145</v>
      </c>
      <c r="Y3">
        <v>1543</v>
      </c>
      <c r="Z3">
        <f xml:space="preserve"> (INT(November10[[#This Row],[End Time]]/100)*60 + MOD(November10[[#This Row],[End Time]],100)) - (INT(November10[[#This Row],[Start Time]]/100)*60 + MOD(November10[[#This Row],[Start Time]],100))</f>
        <v>238</v>
      </c>
      <c r="AC3">
        <v>2</v>
      </c>
      <c r="AD3" cm="1">
        <f t="array" ref="AD3">_xlfn.IFS(November11[[#This Row],[Points]]=2, 1, November11[[#This Row],[Points]]=6, 2, November11[[#This Row],[Points]]=14, 3, November11[[#This Row],[Points]]=25, 3)</f>
        <v>1</v>
      </c>
      <c r="AE3">
        <v>1153</v>
      </c>
      <c r="AF3">
        <v>1323</v>
      </c>
      <c r="AG3">
        <f xml:space="preserve"> (INT(November11[[#This Row],[End Time]]/100)*60 + MOD(November11[[#This Row],[End Time]],100)) - (INT(November11[[#This Row],[Start Time]]/100)*60 + MOD(November11[[#This Row],[Start Time]],100))</f>
        <v>90</v>
      </c>
      <c r="AJ3">
        <v>2</v>
      </c>
      <c r="AK3" cm="1">
        <f t="array" ref="AK3">_xlfn.IFS(November12[[#This Row],[Points]]=2, 1, November12[[#This Row],[Points]]=6, 2, November12[[#This Row],[Points]]=14, 3, November12[[#This Row],[Points]]=25, 3)</f>
        <v>1</v>
      </c>
      <c r="AL3">
        <v>1557</v>
      </c>
      <c r="AM3">
        <v>2115</v>
      </c>
      <c r="AN3">
        <f xml:space="preserve"> (INT(November12[[#This Row],[End Time]]/100)*60 + MOD(November12[[#This Row],[End Time]],100)) - (INT(November12[[#This Row],[Start Time]]/100)*60 + MOD(November12[[#This Row],[Start Time]],100))</f>
        <v>318</v>
      </c>
    </row>
    <row r="4" spans="1:40" x14ac:dyDescent="0.25">
      <c r="A4">
        <v>2</v>
      </c>
      <c r="B4" cm="1">
        <f t="array" ref="B4">_xlfn.IFS(November6[[#This Row],[Points]]=2, 1, November6[[#This Row],[Points]]=6, 2, November6[[#This Row],[Points]]=14, 3, November6[[#This Row],[Points]]=25, 3)</f>
        <v>1</v>
      </c>
      <c r="C4">
        <v>1556</v>
      </c>
      <c r="D4">
        <v>2030</v>
      </c>
      <c r="E4">
        <f xml:space="preserve"> (INT(November6[[#This Row],[End Time]]/100)*60 + MOD(November6[[#This Row],[End Time]],100)) - (INT(November6[[#This Row],[Start Time]]/100)*60 + MOD(November6[[#This Row],[Start Time]],100))</f>
        <v>274</v>
      </c>
      <c r="H4">
        <v>2</v>
      </c>
      <c r="I4" cm="1">
        <f t="array" ref="I4">_xlfn.IFS(November7[[#This Row],[Points]]=2, 1, November7[[#This Row],[Points]]=6, 2, November7[[#This Row],[Points]]=14, 3, November7[[#This Row],[Points]]=25, 3)</f>
        <v>1</v>
      </c>
      <c r="J4">
        <v>2156</v>
      </c>
      <c r="K4">
        <v>2407</v>
      </c>
      <c r="L4">
        <f xml:space="preserve"> (INT(November7[[#This Row],[End Time]]/100)*60 + MOD(November7[[#This Row],[End Time]],100)) - (INT(November7[[#This Row],[Start Time]]/100)*60 + MOD(November7[[#This Row],[Start Time]],100))</f>
        <v>131</v>
      </c>
      <c r="O4">
        <v>6</v>
      </c>
      <c r="P4" cm="1">
        <f t="array" ref="P4">_xlfn.IFS(November9[[#This Row],[Points]]=2, 1, November9[[#This Row],[Points]]=6, 2, November9[[#This Row],[Points]]=14, 3, November9[[#This Row],[Points]]=25, 3)</f>
        <v>2</v>
      </c>
      <c r="S4">
        <f xml:space="preserve"> (INT(November9[[#This Row],[End Time]]/100)*60 + MOD(November9[[#This Row],[End Time]],100)) - (INT(November9[[#This Row],[Start Time]]/100)*60 + MOD(November9[[#This Row],[Start Time]],100))</f>
        <v>0</v>
      </c>
      <c r="V4">
        <v>25</v>
      </c>
      <c r="W4" cm="1">
        <f t="array" ref="W4">_xlfn.IFS(November10[[#This Row],[Points]]=2, 1, November10[[#This Row],[Points]]=6, 2, November10[[#This Row],[Points]]=14, 3, November10[[#This Row],[Points]]=25, 3)</f>
        <v>3</v>
      </c>
      <c r="X4">
        <v>2339</v>
      </c>
      <c r="Y4">
        <v>2412</v>
      </c>
      <c r="Z4">
        <f xml:space="preserve"> (INT(November10[[#This Row],[End Time]]/100)*60 + MOD(November10[[#This Row],[End Time]],100)) - (INT(November10[[#This Row],[Start Time]]/100)*60 + MOD(November10[[#This Row],[Start Time]],100))</f>
        <v>33</v>
      </c>
      <c r="AC4">
        <v>2</v>
      </c>
      <c r="AD4" cm="1">
        <f t="array" ref="AD4">_xlfn.IFS(November11[[#This Row],[Points]]=2, 1, November11[[#This Row],[Points]]=6, 2, November11[[#This Row],[Points]]=14, 3, November11[[#This Row],[Points]]=25, 3)</f>
        <v>1</v>
      </c>
      <c r="AG4">
        <f xml:space="preserve"> (INT(November11[[#This Row],[End Time]]/100)*60 + MOD(November11[[#This Row],[End Time]],100)) - (INT(November11[[#This Row],[Start Time]]/100)*60 + MOD(November11[[#This Row],[Start Time]],100))</f>
        <v>0</v>
      </c>
      <c r="AJ4" s="5">
        <v>2</v>
      </c>
      <c r="AK4" s="6" cm="1">
        <f t="array" ref="AK4">_xlfn.IFS(November12[[#This Row],[Points]]=2, 1, November12[[#This Row],[Points]]=6, 2, November12[[#This Row],[Points]]=14, 3, November12[[#This Row],[Points]]=25, 3)</f>
        <v>1</v>
      </c>
      <c r="AN4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5" spans="1:40" x14ac:dyDescent="0.25">
      <c r="A5">
        <v>25</v>
      </c>
      <c r="B5" cm="1">
        <f t="array" ref="B5">_xlfn.IFS(November6[[#This Row],[Points]]=2, 1, November6[[#This Row],[Points]]=6, 2, November6[[#This Row],[Points]]=14, 3, November6[[#This Row],[Points]]=25, 3)</f>
        <v>3</v>
      </c>
      <c r="E5">
        <f xml:space="preserve"> (INT(November6[[#This Row],[End Time]]/100)*60 + MOD(November6[[#This Row],[End Time]],100)) - (INT(November6[[#This Row],[Start Time]]/100)*60 + MOD(November6[[#This Row],[Start Time]],100))</f>
        <v>0</v>
      </c>
      <c r="H5">
        <v>6</v>
      </c>
      <c r="I5" cm="1">
        <f t="array" ref="I5">_xlfn.IFS(November7[[#This Row],[Points]]=2, 1, November7[[#This Row],[Points]]=6, 2, November7[[#This Row],[Points]]=14, 3, November7[[#This Row],[Points]]=25, 3)</f>
        <v>2</v>
      </c>
      <c r="L5">
        <f xml:space="preserve"> (INT(November7[[#This Row],[End Time]]/100)*60 + MOD(November7[[#This Row],[End Time]],100)) - (INT(November7[[#This Row],[Start Time]]/100)*60 + MOD(November7[[#This Row],[Start Time]],100))</f>
        <v>0</v>
      </c>
      <c r="O5">
        <v>2</v>
      </c>
      <c r="P5" cm="1">
        <f t="array" ref="P5">_xlfn.IFS(November9[[#This Row],[Points]]=2, 1, November9[[#This Row],[Points]]=6, 2, November9[[#This Row],[Points]]=14, 3, November9[[#This Row],[Points]]=25, 3)</f>
        <v>1</v>
      </c>
      <c r="S5">
        <f xml:space="preserve"> (INT(November9[[#This Row],[End Time]]/100)*60 + MOD(November9[[#This Row],[End Time]],100)) - (INT(November9[[#This Row],[Start Time]]/100)*60 + MOD(November9[[#This Row],[Start Time]],100))</f>
        <v>0</v>
      </c>
      <c r="V5">
        <v>25</v>
      </c>
      <c r="W5" cm="1">
        <f t="array" ref="W5">_xlfn.IFS(November10[[#This Row],[Points]]=2, 1, November10[[#This Row],[Points]]=6, 2, November10[[#This Row],[Points]]=14, 3, November10[[#This Row],[Points]]=25, 3)</f>
        <v>3</v>
      </c>
      <c r="Z5">
        <f xml:space="preserve"> (INT(November10[[#This Row],[End Time]]/100)*60 + MOD(November10[[#This Row],[End Time]],100)) - (INT(November10[[#This Row],[Start Time]]/100)*60 + MOD(November10[[#This Row],[Start Time]],100))</f>
        <v>0</v>
      </c>
      <c r="AC5">
        <v>25</v>
      </c>
      <c r="AD5" cm="1">
        <f t="array" ref="AD5">_xlfn.IFS(November11[[#This Row],[Points]]=2, 1, November11[[#This Row],[Points]]=6, 2, November11[[#This Row],[Points]]=14, 3, November11[[#This Row],[Points]]=25, 3)</f>
        <v>3</v>
      </c>
      <c r="AG5">
        <f xml:space="preserve"> (INT(November11[[#This Row],[End Time]]/100)*60 + MOD(November11[[#This Row],[End Time]],100)) - (INT(November11[[#This Row],[Start Time]]/100)*60 + MOD(November11[[#This Row],[Start Time]],100))</f>
        <v>0</v>
      </c>
      <c r="AJ5" s="5">
        <v>2</v>
      </c>
      <c r="AK5" s="6" cm="1">
        <f t="array" ref="AK5">_xlfn.IFS(November12[[#This Row],[Points]]=2, 1, November12[[#This Row],[Points]]=6, 2, November12[[#This Row],[Points]]=14, 3, November12[[#This Row],[Points]]=25, 3)</f>
        <v>1</v>
      </c>
      <c r="AN5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6" spans="1:40" x14ac:dyDescent="0.25">
      <c r="A6">
        <v>2</v>
      </c>
      <c r="B6" cm="1">
        <f t="array" ref="B6">_xlfn.IFS(November6[[#This Row],[Points]]=2, 1, November6[[#This Row],[Points]]=6, 2, November6[[#This Row],[Points]]=14, 3, November6[[#This Row],[Points]]=25, 3)</f>
        <v>1</v>
      </c>
      <c r="E6">
        <f xml:space="preserve"> (INT(November6[[#This Row],[End Time]]/100)*60 + MOD(November6[[#This Row],[End Time]],100)) - (INT(November6[[#This Row],[Start Time]]/100)*60 + MOD(November6[[#This Row],[Start Time]],100))</f>
        <v>0</v>
      </c>
      <c r="H6">
        <v>6</v>
      </c>
      <c r="I6" cm="1">
        <f t="array" ref="I6">_xlfn.IFS(November7[[#This Row],[Points]]=2, 1, November7[[#This Row],[Points]]=6, 2, November7[[#This Row],[Points]]=14, 3, November7[[#This Row],[Points]]=25, 3)</f>
        <v>2</v>
      </c>
      <c r="L6">
        <f xml:space="preserve"> (INT(November7[[#This Row],[End Time]]/100)*60 + MOD(November7[[#This Row],[End Time]],100)) - (INT(November7[[#This Row],[Start Time]]/100)*60 + MOD(November7[[#This Row],[Start Time]],100))</f>
        <v>0</v>
      </c>
      <c r="O6">
        <v>2</v>
      </c>
      <c r="P6" cm="1">
        <f t="array" ref="P6">_xlfn.IFS(November9[[#This Row],[Points]]=2, 1, November9[[#This Row],[Points]]=6, 2, November9[[#This Row],[Points]]=14, 3, November9[[#This Row],[Points]]=25, 3)</f>
        <v>1</v>
      </c>
      <c r="S6">
        <f xml:space="preserve"> (INT(November9[[#This Row],[End Time]]/100)*60 + MOD(November9[[#This Row],[End Time]],100)) - (INT(November9[[#This Row],[Start Time]]/100)*60 + MOD(November9[[#This Row],[Start Time]],100))</f>
        <v>0</v>
      </c>
      <c r="V6">
        <v>25</v>
      </c>
      <c r="W6" cm="1">
        <f t="array" ref="W6">_xlfn.IFS(November10[[#This Row],[Points]]=2, 1, November10[[#This Row],[Points]]=6, 2, November10[[#This Row],[Points]]=14, 3, November10[[#This Row],[Points]]=25, 3)</f>
        <v>3</v>
      </c>
      <c r="Z6">
        <f xml:space="preserve"> (INT(November10[[#This Row],[End Time]]/100)*60 + MOD(November10[[#This Row],[End Time]],100)) - (INT(November10[[#This Row],[Start Time]]/100)*60 + MOD(November10[[#This Row],[Start Time]],100))</f>
        <v>0</v>
      </c>
      <c r="AC6">
        <v>6</v>
      </c>
      <c r="AD6" cm="1">
        <f t="array" ref="AD6">_xlfn.IFS(November11[[#This Row],[Points]]=2, 1, November11[[#This Row],[Points]]=6, 2, November11[[#This Row],[Points]]=14, 3, November11[[#This Row],[Points]]=25, 3)</f>
        <v>2</v>
      </c>
      <c r="AG6">
        <f xml:space="preserve"> (INT(November11[[#This Row],[End Time]]/100)*60 + MOD(November11[[#This Row],[End Time]],100)) - (INT(November11[[#This Row],[Start Time]]/100)*60 + MOD(November11[[#This Row],[Start Time]],100))</f>
        <v>0</v>
      </c>
      <c r="AJ6" s="5">
        <v>2</v>
      </c>
      <c r="AK6" s="6" cm="1">
        <f t="array" ref="AK6">_xlfn.IFS(November12[[#This Row],[Points]]=2, 1, November12[[#This Row],[Points]]=6, 2, November12[[#This Row],[Points]]=14, 3, November12[[#This Row],[Points]]=25, 3)</f>
        <v>1</v>
      </c>
      <c r="AN6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7" spans="1:40" x14ac:dyDescent="0.25">
      <c r="A7">
        <v>14</v>
      </c>
      <c r="B7" cm="1">
        <f t="array" ref="B7">_xlfn.IFS(November6[[#This Row],[Points]]=2, 1, November6[[#This Row],[Points]]=6, 2, November6[[#This Row],[Points]]=14, 3, November6[[#This Row],[Points]]=25, 3)</f>
        <v>3</v>
      </c>
      <c r="E7">
        <f xml:space="preserve"> (INT(November6[[#This Row],[End Time]]/100)*60 + MOD(November6[[#This Row],[End Time]],100)) - (INT(November6[[#This Row],[Start Time]]/100)*60 + MOD(November6[[#This Row],[Start Time]],100))</f>
        <v>0</v>
      </c>
      <c r="H7">
        <v>14</v>
      </c>
      <c r="I7" cm="1">
        <f t="array" ref="I7">_xlfn.IFS(November7[[#This Row],[Points]]=2, 1, November7[[#This Row],[Points]]=6, 2, November7[[#This Row],[Points]]=14, 3, November7[[#This Row],[Points]]=25, 3)</f>
        <v>3</v>
      </c>
      <c r="L7">
        <f xml:space="preserve"> (INT(November7[[#This Row],[End Time]]/100)*60 + MOD(November7[[#This Row],[End Time]],100)) - (INT(November7[[#This Row],[Start Time]]/100)*60 + MOD(November7[[#This Row],[Start Time]],100))</f>
        <v>0</v>
      </c>
      <c r="O7">
        <v>2</v>
      </c>
      <c r="P7" cm="1">
        <f t="array" ref="P7">_xlfn.IFS(November9[[#This Row],[Points]]=2, 1, November9[[#This Row],[Points]]=6, 2, November9[[#This Row],[Points]]=14, 3, November9[[#This Row],[Points]]=25, 3)</f>
        <v>1</v>
      </c>
      <c r="S7">
        <f xml:space="preserve"> (INT(November9[[#This Row],[End Time]]/100)*60 + MOD(November9[[#This Row],[End Time]],100)) - (INT(November9[[#This Row],[Start Time]]/100)*60 + MOD(November9[[#This Row],[Start Time]],100))</f>
        <v>0</v>
      </c>
      <c r="V7">
        <v>14</v>
      </c>
      <c r="W7" cm="1">
        <f t="array" ref="W7">_xlfn.IFS(November10[[#This Row],[Points]]=2, 1, November10[[#This Row],[Points]]=6, 2, November10[[#This Row],[Points]]=14, 3, November10[[#This Row],[Points]]=25, 3)</f>
        <v>3</v>
      </c>
      <c r="Z7">
        <f xml:space="preserve"> (INT(November10[[#This Row],[End Time]]/100)*60 + MOD(November10[[#This Row],[End Time]],100)) - (INT(November10[[#This Row],[Start Time]]/100)*60 + MOD(November10[[#This Row],[Start Time]],100))</f>
        <v>0</v>
      </c>
      <c r="AC7">
        <f>SUM(November11[Points])</f>
        <v>35</v>
      </c>
      <c r="AD7">
        <f>SUM(November11[Rounds])</f>
        <v>7</v>
      </c>
      <c r="AG7">
        <f>SUM(November11[Playtime (Minutes)])</f>
        <v>90</v>
      </c>
      <c r="AJ7" s="5">
        <v>14</v>
      </c>
      <c r="AK7" s="6" cm="1">
        <f t="array" ref="AK7">_xlfn.IFS(November12[[#This Row],[Points]]=2, 1, November12[[#This Row],[Points]]=6, 2, November12[[#This Row],[Points]]=14, 3, November12[[#This Row],[Points]]=25, 3)</f>
        <v>3</v>
      </c>
      <c r="AN7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8" spans="1:40" x14ac:dyDescent="0.25">
      <c r="A8">
        <v>2</v>
      </c>
      <c r="B8" cm="1">
        <f t="array" ref="B8">_xlfn.IFS(November6[[#This Row],[Points]]=2, 1, November6[[#This Row],[Points]]=6, 2, November6[[#This Row],[Points]]=14, 3, November6[[#This Row],[Points]]=25, 3)</f>
        <v>1</v>
      </c>
      <c r="E8">
        <f xml:space="preserve"> (INT(November6[[#This Row],[End Time]]/100)*60 + MOD(November6[[#This Row],[End Time]],100)) - (INT(November6[[#This Row],[Start Time]]/100)*60 + MOD(November6[[#This Row],[Start Time]],100))</f>
        <v>0</v>
      </c>
      <c r="H8">
        <v>6</v>
      </c>
      <c r="I8" cm="1">
        <f t="array" ref="I8">_xlfn.IFS(November7[[#This Row],[Points]]=2, 1, November7[[#This Row],[Points]]=6, 2, November7[[#This Row],[Points]]=14, 3, November7[[#This Row],[Points]]=25, 3)</f>
        <v>2</v>
      </c>
      <c r="L8">
        <f xml:space="preserve"> (INT(November7[[#This Row],[End Time]]/100)*60 + MOD(November7[[#This Row],[End Time]],100)) - (INT(November7[[#This Row],[Start Time]]/100)*60 + MOD(November7[[#This Row],[Start Time]],100))</f>
        <v>0</v>
      </c>
      <c r="O8">
        <v>2</v>
      </c>
      <c r="P8" cm="1">
        <f t="array" ref="P8">_xlfn.IFS(November9[[#This Row],[Points]]=2, 1, November9[[#This Row],[Points]]=6, 2, November9[[#This Row],[Points]]=14, 3, November9[[#This Row],[Points]]=25, 3)</f>
        <v>1</v>
      </c>
      <c r="S8">
        <f xml:space="preserve"> (INT(November9[[#This Row],[End Time]]/100)*60 + MOD(November9[[#This Row],[End Time]],100)) - (INT(November9[[#This Row],[Start Time]]/100)*60 + MOD(November9[[#This Row],[Start Time]],100))</f>
        <v>0</v>
      </c>
      <c r="V8">
        <v>25</v>
      </c>
      <c r="W8" cm="1">
        <f t="array" ref="W8">_xlfn.IFS(November10[[#This Row],[Points]]=2, 1, November10[[#This Row],[Points]]=6, 2, November10[[#This Row],[Points]]=14, 3, November10[[#This Row],[Points]]=25, 3)</f>
        <v>3</v>
      </c>
      <c r="Z8">
        <f xml:space="preserve"> (INT(November10[[#This Row],[End Time]]/100)*60 + MOD(November10[[#This Row],[End Time]],100)) - (INT(November10[[#This Row],[Start Time]]/100)*60 + MOD(November10[[#This Row],[Start Time]],100))</f>
        <v>0</v>
      </c>
      <c r="AC8" t="s">
        <v>19</v>
      </c>
      <c r="AD8" t="s">
        <v>21</v>
      </c>
      <c r="AE8" t="s">
        <v>12</v>
      </c>
      <c r="AF8" t="s">
        <v>13</v>
      </c>
      <c r="AG8" s="1" t="str">
        <f>INT(November11[[#Totals],[Playtime (Minutes)]]/60)&amp;" hrs  "&amp;INT(MOD(November11[[#Totals],[Playtime (Minutes)]],60))&amp;" mins"</f>
        <v>1 hrs  30 mins</v>
      </c>
      <c r="AJ8" s="5">
        <v>6</v>
      </c>
      <c r="AK8" s="6" cm="1">
        <f t="array" ref="AK8">_xlfn.IFS(November12[[#This Row],[Points]]=2, 1, November12[[#This Row],[Points]]=6, 2, November12[[#This Row],[Points]]=14, 3, November12[[#This Row],[Points]]=25, 3)</f>
        <v>2</v>
      </c>
      <c r="AN8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9" spans="1:40" x14ac:dyDescent="0.25">
      <c r="A9">
        <v>2</v>
      </c>
      <c r="B9" cm="1">
        <f t="array" ref="B9">_xlfn.IFS(November6[[#This Row],[Points]]=2, 1, November6[[#This Row],[Points]]=6, 2, November6[[#This Row],[Points]]=14, 3, November6[[#This Row],[Points]]=25, 3)</f>
        <v>1</v>
      </c>
      <c r="E9">
        <f xml:space="preserve"> (INT(November6[[#This Row],[End Time]]/100)*60 + MOD(November6[[#This Row],[End Time]],100)) - (INT(November6[[#This Row],[Start Time]]/100)*60 + MOD(November6[[#This Row],[Start Time]],100))</f>
        <v>0</v>
      </c>
      <c r="H9">
        <f>SUM(November7[Points])</f>
        <v>59</v>
      </c>
      <c r="I9">
        <f>SUM(November7[Rounds])</f>
        <v>13</v>
      </c>
      <c r="L9">
        <f>SUM(November7[Playtime (Minutes)])</f>
        <v>169</v>
      </c>
      <c r="O9">
        <v>6</v>
      </c>
      <c r="P9" cm="1">
        <f t="array" ref="P9">_xlfn.IFS(November9[[#This Row],[Points]]=2, 1, November9[[#This Row],[Points]]=6, 2, November9[[#This Row],[Points]]=14, 3, November9[[#This Row],[Points]]=25, 3)</f>
        <v>2</v>
      </c>
      <c r="S9">
        <f xml:space="preserve"> (INT(November9[[#This Row],[End Time]]/100)*60 + MOD(November9[[#This Row],[End Time]],100)) - (INT(November9[[#This Row],[Start Time]]/100)*60 + MOD(November9[[#This Row],[Start Time]],100))</f>
        <v>0</v>
      </c>
      <c r="V9">
        <v>6</v>
      </c>
      <c r="W9" cm="1">
        <f t="array" ref="W9">_xlfn.IFS(November10[[#This Row],[Points]]=2, 1, November10[[#This Row],[Points]]=6, 2, November10[[#This Row],[Points]]=14, 3, November10[[#This Row],[Points]]=25, 3)</f>
        <v>2</v>
      </c>
      <c r="Z9">
        <f xml:space="preserve"> (INT(November10[[#This Row],[End Time]]/100)*60 + MOD(November10[[#This Row],[End Time]],100)) - (INT(November10[[#This Row],[Start Time]]/100)*60 + MOD(November10[[#This Row],[Start Time]],100))</f>
        <v>0</v>
      </c>
      <c r="AC9">
        <f>November11[[#Totals],[Playtime (Minutes)]]/November11[[#Totals],[Rounds]]</f>
        <v>12.857142857142858</v>
      </c>
      <c r="AD9">
        <f>November11[[#Totals],[Points]]/November11[[#Totals],[Rounds]]</f>
        <v>5</v>
      </c>
      <c r="AE9">
        <f>November11[[#Totals],[Playtime (Minutes)]]/November11[[#Totals],[Points]]</f>
        <v>2.5714285714285716</v>
      </c>
      <c r="AF9">
        <f>November11[[#Totals],[Points]]/November11[[#Totals],[Playtime (Minutes)]]</f>
        <v>0.3888888888888889</v>
      </c>
      <c r="AJ9" s="5">
        <v>2</v>
      </c>
      <c r="AK9" s="6" cm="1">
        <f t="array" ref="AK9">_xlfn.IFS(November12[[#This Row],[Points]]=2, 1, November12[[#This Row],[Points]]=6, 2, November12[[#This Row],[Points]]=14, 3, November12[[#This Row],[Points]]=25, 3)</f>
        <v>1</v>
      </c>
      <c r="AN9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0" spans="1:40" x14ac:dyDescent="0.25">
      <c r="A10">
        <v>6</v>
      </c>
      <c r="B10" cm="1">
        <f t="array" ref="B10">_xlfn.IFS(November6[[#This Row],[Points]]=2, 1, November6[[#This Row],[Points]]=6, 2, November6[[#This Row],[Points]]=14, 3, November6[[#This Row],[Points]]=25, 3)</f>
        <v>2</v>
      </c>
      <c r="E10">
        <f xml:space="preserve"> (INT(November6[[#This Row],[End Time]]/100)*60 + MOD(November6[[#This Row],[End Time]],100)) - (INT(November6[[#This Row],[Start Time]]/100)*60 + MOD(November6[[#This Row],[Start Time]],100))</f>
        <v>0</v>
      </c>
      <c r="H10" t="s">
        <v>19</v>
      </c>
      <c r="I10" t="s">
        <v>21</v>
      </c>
      <c r="J10" t="s">
        <v>12</v>
      </c>
      <c r="K10" t="s">
        <v>13</v>
      </c>
      <c r="L10" s="1" t="str">
        <f>INT(November7[[#Totals],[Playtime (Minutes)]]/60)&amp;" hrs  "&amp;INT(MOD(November7[[#Totals],[Playtime (Minutes)]],60))&amp;" mins"</f>
        <v>2 hrs  49 mins</v>
      </c>
      <c r="O10">
        <v>6</v>
      </c>
      <c r="P10" cm="1">
        <f t="array" ref="P10">_xlfn.IFS(November9[[#This Row],[Points]]=2, 1, November9[[#This Row],[Points]]=6, 2, November9[[#This Row],[Points]]=14, 3, November9[[#This Row],[Points]]=25, 3)</f>
        <v>2</v>
      </c>
      <c r="S10">
        <f xml:space="preserve"> (INT(November9[[#This Row],[End Time]]/100)*60 + MOD(November9[[#This Row],[End Time]],100)) - (INT(November9[[#This Row],[Start Time]]/100)*60 + MOD(November9[[#This Row],[Start Time]],100))</f>
        <v>0</v>
      </c>
      <c r="V10">
        <v>25</v>
      </c>
      <c r="W10" cm="1">
        <f t="array" ref="W10">_xlfn.IFS(November10[[#This Row],[Points]]=2, 1, November10[[#This Row],[Points]]=6, 2, November10[[#This Row],[Points]]=14, 3, November10[[#This Row],[Points]]=25, 3)</f>
        <v>3</v>
      </c>
      <c r="Z10">
        <f xml:space="preserve"> (INT(November10[[#This Row],[End Time]]/100)*60 + MOD(November10[[#This Row],[End Time]],100)) - (INT(November10[[#This Row],[Start Time]]/100)*60 + MOD(November10[[#This Row],[Start Time]],100))</f>
        <v>0</v>
      </c>
      <c r="AJ10" s="5">
        <v>2</v>
      </c>
      <c r="AK10" s="6" cm="1">
        <f t="array" ref="AK10">_xlfn.IFS(November12[[#This Row],[Points]]=2, 1, November12[[#This Row],[Points]]=6, 2, November12[[#This Row],[Points]]=14, 3, November12[[#This Row],[Points]]=25, 3)</f>
        <v>1</v>
      </c>
      <c r="AN10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1" spans="1:40" x14ac:dyDescent="0.25">
      <c r="A11">
        <v>2</v>
      </c>
      <c r="B11" cm="1">
        <f t="array" ref="B11">_xlfn.IFS(November6[[#This Row],[Points]]=2, 1, November6[[#This Row],[Points]]=6, 2, November6[[#This Row],[Points]]=14, 3, November6[[#This Row],[Points]]=25, 3)</f>
        <v>1</v>
      </c>
      <c r="E11">
        <f xml:space="preserve"> (INT(November6[[#This Row],[End Time]]/100)*60 + MOD(November6[[#This Row],[End Time]],100)) - (INT(November6[[#This Row],[Start Time]]/100)*60 + MOD(November6[[#This Row],[Start Time]],100))</f>
        <v>0</v>
      </c>
      <c r="H11">
        <f>November7[[#Totals],[Playtime (Minutes)]]/November7[[#Totals],[Rounds]]</f>
        <v>13</v>
      </c>
      <c r="I11">
        <f>November7[[#Totals],[Points]]/November7[[#Totals],[Rounds]]</f>
        <v>4.5384615384615383</v>
      </c>
      <c r="J11">
        <f>November7[[#Totals],[Playtime (Minutes)]]/November7[[#Totals],[Points]]</f>
        <v>2.8644067796610169</v>
      </c>
      <c r="K11">
        <f>November7[[#Totals],[Points]]/November7[[#Totals],[Playtime (Minutes)]]</f>
        <v>0.34911242603550297</v>
      </c>
      <c r="O11">
        <v>6</v>
      </c>
      <c r="P11" cm="1">
        <f t="array" ref="P11">_xlfn.IFS(November9[[#This Row],[Points]]=2, 1, November9[[#This Row],[Points]]=6, 2, November9[[#This Row],[Points]]=14, 3, November9[[#This Row],[Points]]=25, 3)</f>
        <v>2</v>
      </c>
      <c r="S11">
        <f xml:space="preserve"> (INT(November9[[#This Row],[End Time]]/100)*60 + MOD(November9[[#This Row],[End Time]],100)) - (INT(November9[[#This Row],[Start Time]]/100)*60 + MOD(November9[[#This Row],[Start Time]],100))</f>
        <v>0</v>
      </c>
      <c r="V11">
        <f>SUM(November10[Points])</f>
        <v>159</v>
      </c>
      <c r="W11">
        <f>SUM(November10[Rounds])</f>
        <v>23</v>
      </c>
      <c r="Z11">
        <f>SUM(November10[Playtime (Minutes)])</f>
        <v>271</v>
      </c>
      <c r="AC11" t="s">
        <v>16</v>
      </c>
      <c r="AD11" t="s">
        <v>13</v>
      </c>
      <c r="AJ11" s="5">
        <v>6</v>
      </c>
      <c r="AK11" s="6" cm="1">
        <f t="array" ref="AK11">_xlfn.IFS(November12[[#This Row],[Points]]=2, 1, November12[[#This Row],[Points]]=6, 2, November12[[#This Row],[Points]]=14, 3, November12[[#This Row],[Points]]=25, 3)</f>
        <v>2</v>
      </c>
      <c r="AN11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2" spans="1:40" x14ac:dyDescent="0.25">
      <c r="A12">
        <v>25</v>
      </c>
      <c r="B12" cm="1">
        <f t="array" ref="B12">_xlfn.IFS(November6[[#This Row],[Points]]=2, 1, November6[[#This Row],[Points]]=6, 2, November6[[#This Row],[Points]]=14, 3, November6[[#This Row],[Points]]=25, 3)</f>
        <v>3</v>
      </c>
      <c r="E12">
        <f xml:space="preserve"> (INT(November6[[#This Row],[End Time]]/100)*60 + MOD(November6[[#This Row],[End Time]],100)) - (INT(November6[[#This Row],[Start Time]]/100)*60 + MOD(November6[[#This Row],[Start Time]],100))</f>
        <v>0</v>
      </c>
      <c r="O12">
        <v>14</v>
      </c>
      <c r="P12" cm="1">
        <f t="array" ref="P12">_xlfn.IFS(November9[[#This Row],[Points]]=2, 1, November9[[#This Row],[Points]]=6, 2, November9[[#This Row],[Points]]=14, 3, November9[[#This Row],[Points]]=25, 3)</f>
        <v>3</v>
      </c>
      <c r="S12">
        <f xml:space="preserve"> (INT(November9[[#This Row],[End Time]]/100)*60 + MOD(November9[[#This Row],[End Time]],100)) - (INT(November9[[#This Row],[Start Time]]/100)*60 + MOD(November9[[#This Row],[Start Time]],100))</f>
        <v>0</v>
      </c>
      <c r="V12" t="s">
        <v>19</v>
      </c>
      <c r="W12" t="s">
        <v>21</v>
      </c>
      <c r="X12" t="s">
        <v>12</v>
      </c>
      <c r="Y12" t="s">
        <v>13</v>
      </c>
      <c r="Z12" s="1" t="str">
        <f>INT(November10[[#Totals],[Playtime (Minutes)]]/60)&amp;" hrs  "&amp;INT(MOD(November10[[#Totals],[Playtime (Minutes)]],60))&amp;" mins"</f>
        <v>4 hrs  31 mins</v>
      </c>
      <c r="AC12">
        <f>ROWS(November11[Points])</f>
        <v>4</v>
      </c>
      <c r="AD12">
        <f>November11[[#Totals],[Points]]/ROWS(November11[Points])</f>
        <v>8.75</v>
      </c>
      <c r="AJ12" s="5">
        <v>25</v>
      </c>
      <c r="AK12" s="6" cm="1">
        <f t="array" ref="AK12">_xlfn.IFS(November12[[#This Row],[Points]]=2, 1, November12[[#This Row],[Points]]=6, 2, November12[[#This Row],[Points]]=14, 3, November12[[#This Row],[Points]]=25, 3)</f>
        <v>3</v>
      </c>
      <c r="AN12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3" spans="1:40" x14ac:dyDescent="0.25">
      <c r="A13">
        <v>2</v>
      </c>
      <c r="B13" cm="1">
        <f t="array" ref="B13">_xlfn.IFS(November6[[#This Row],[Points]]=2, 1, November6[[#This Row],[Points]]=6, 2, November6[[#This Row],[Points]]=14, 3, November6[[#This Row],[Points]]=25, 3)</f>
        <v>1</v>
      </c>
      <c r="E13">
        <f xml:space="preserve"> (INT(November6[[#This Row],[End Time]]/100)*60 + MOD(November6[[#This Row],[End Time]],100)) - (INT(November6[[#This Row],[Start Time]]/100)*60 + MOD(November6[[#This Row],[Start Time]],100))</f>
        <v>0</v>
      </c>
      <c r="H13" t="s">
        <v>16</v>
      </c>
      <c r="I13" t="s">
        <v>13</v>
      </c>
      <c r="O13">
        <f>SUM(November9[Points])</f>
        <v>71</v>
      </c>
      <c r="P13">
        <f>SUM(November9[Rounds])</f>
        <v>18</v>
      </c>
      <c r="S13">
        <f>SUM(November9[Playtime (Minutes)])</f>
        <v>232</v>
      </c>
      <c r="V13">
        <f>November10[[#Totals],[Playtime (Minutes)]]/November10[[#Totals],[Rounds]]</f>
        <v>11.782608695652174</v>
      </c>
      <c r="W13">
        <f>November10[[#Totals],[Points]]/November10[[#Totals],[Rounds]]</f>
        <v>6.9130434782608692</v>
      </c>
      <c r="X13">
        <f>November10[[#Totals],[Playtime (Minutes)]]/November10[[#Totals],[Points]]</f>
        <v>1.7044025157232705</v>
      </c>
      <c r="Y13">
        <f>November10[[#Totals],[Points]]/November10[[#Totals],[Playtime (Minutes)]]</f>
        <v>0.58671586715867163</v>
      </c>
      <c r="AJ13" s="5">
        <v>2</v>
      </c>
      <c r="AK13" s="6" cm="1">
        <f t="array" ref="AK13">_xlfn.IFS(November12[[#This Row],[Points]]=2, 1, November12[[#This Row],[Points]]=6, 2, November12[[#This Row],[Points]]=14, 3, November12[[#This Row],[Points]]=25, 3)</f>
        <v>1</v>
      </c>
      <c r="AN13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4" spans="1:40" x14ac:dyDescent="0.25">
      <c r="A14">
        <v>6</v>
      </c>
      <c r="B14" cm="1">
        <f t="array" ref="B14">_xlfn.IFS(November6[[#This Row],[Points]]=2, 1, November6[[#This Row],[Points]]=6, 2, November6[[#This Row],[Points]]=14, 3, November6[[#This Row],[Points]]=25, 3)</f>
        <v>2</v>
      </c>
      <c r="E14">
        <f xml:space="preserve"> (INT(November6[[#This Row],[End Time]]/100)*60 + MOD(November6[[#This Row],[End Time]],100)) - (INT(November6[[#This Row],[Start Time]]/100)*60 + MOD(November6[[#This Row],[Start Time]],100))</f>
        <v>0</v>
      </c>
      <c r="H14">
        <f>ROWS(November7[Points])</f>
        <v>6</v>
      </c>
      <c r="I14">
        <f>November7[[#Totals],[Points]]/ROWS(November7[Points])</f>
        <v>9.8333333333333339</v>
      </c>
      <c r="O14" t="s">
        <v>19</v>
      </c>
      <c r="P14" t="s">
        <v>21</v>
      </c>
      <c r="Q14" t="s">
        <v>12</v>
      </c>
      <c r="R14" t="s">
        <v>13</v>
      </c>
      <c r="S14" s="1" t="str">
        <f>INT(November9[[#Totals],[Playtime (Minutes)]]/60)&amp;" hrs  "&amp;INT(MOD(November9[[#Totals],[Playtime (Minutes)]],60))&amp;" mins"</f>
        <v>3 hrs  52 mins</v>
      </c>
      <c r="AJ14" s="5">
        <v>6</v>
      </c>
      <c r="AK14" s="6" cm="1">
        <f t="array" ref="AK14">_xlfn.IFS(November12[[#This Row],[Points]]=2, 1, November12[[#This Row],[Points]]=6, 2, November12[[#This Row],[Points]]=14, 3, November12[[#This Row],[Points]]=25, 3)</f>
        <v>2</v>
      </c>
      <c r="AN14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5" spans="1:40" x14ac:dyDescent="0.25">
      <c r="A15">
        <v>2</v>
      </c>
      <c r="B15" cm="1">
        <f t="array" ref="B15">_xlfn.IFS(November6[[#This Row],[Points]]=2, 1, November6[[#This Row],[Points]]=6, 2, November6[[#This Row],[Points]]=14, 3, November6[[#This Row],[Points]]=25, 3)</f>
        <v>1</v>
      </c>
      <c r="E15">
        <f xml:space="preserve"> (INT(November6[[#This Row],[End Time]]/100)*60 + MOD(November6[[#This Row],[End Time]],100)) - (INT(November6[[#This Row],[Start Time]]/100)*60 + MOD(November6[[#This Row],[Start Time]],100))</f>
        <v>0</v>
      </c>
      <c r="O15">
        <f>November9[[#Totals],[Playtime (Minutes)]]/November9[[#Totals],[Rounds]]</f>
        <v>12.888888888888889</v>
      </c>
      <c r="P15">
        <f>November9[[#Totals],[Points]]/November9[[#Totals],[Rounds]]</f>
        <v>3.9444444444444446</v>
      </c>
      <c r="Q15">
        <f>November9[[#Totals],[Playtime (Minutes)]]/November9[[#Totals],[Points]]</f>
        <v>3.267605633802817</v>
      </c>
      <c r="R15">
        <f>November9[[#Totals],[Points]]/November9[[#Totals],[Playtime (Minutes)]]</f>
        <v>0.30603448275862066</v>
      </c>
      <c r="V15" t="s">
        <v>16</v>
      </c>
      <c r="W15" t="s">
        <v>25</v>
      </c>
      <c r="AJ15" s="5">
        <v>2</v>
      </c>
      <c r="AK15" s="6" cm="1">
        <f t="array" ref="AK15">_xlfn.IFS(November12[[#This Row],[Points]]=2, 1, November12[[#This Row],[Points]]=6, 2, November12[[#This Row],[Points]]=14, 3, November12[[#This Row],[Points]]=25, 3)</f>
        <v>1</v>
      </c>
      <c r="AN15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6" spans="1:40" x14ac:dyDescent="0.25">
      <c r="A16">
        <v>2</v>
      </c>
      <c r="B16" cm="1">
        <f t="array" ref="B16">_xlfn.IFS(November6[[#This Row],[Points]]=2, 1, November6[[#This Row],[Points]]=6, 2, November6[[#This Row],[Points]]=14, 3, November6[[#This Row],[Points]]=25, 3)</f>
        <v>1</v>
      </c>
      <c r="E16">
        <f xml:space="preserve"> (INT(November6[[#This Row],[End Time]]/100)*60 + MOD(November6[[#This Row],[End Time]],100)) - (INT(November6[[#This Row],[Start Time]]/100)*60 + MOD(November6[[#This Row],[Start Time]],100))</f>
        <v>0</v>
      </c>
      <c r="V16">
        <f>ROWS(November10[Points])</f>
        <v>8</v>
      </c>
      <c r="W16">
        <f>November10[[#Totals],[Points]]/ROWS(November10[Points])</f>
        <v>19.875</v>
      </c>
      <c r="AJ16" s="5">
        <v>2</v>
      </c>
      <c r="AK16" s="6" cm="1">
        <f t="array" ref="AK16">_xlfn.IFS(November12[[#This Row],[Points]]=2, 1, November12[[#This Row],[Points]]=6, 2, November12[[#This Row],[Points]]=14, 3, November12[[#This Row],[Points]]=25, 3)</f>
        <v>1</v>
      </c>
      <c r="AN16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7" spans="1:40" x14ac:dyDescent="0.25">
      <c r="A17">
        <v>2</v>
      </c>
      <c r="B17" cm="1">
        <f t="array" ref="B17">_xlfn.IFS(November6[[#This Row],[Points]]=2, 1, November6[[#This Row],[Points]]=6, 2, November6[[#This Row],[Points]]=14, 3, November6[[#This Row],[Points]]=25, 3)</f>
        <v>1</v>
      </c>
      <c r="E17">
        <f xml:space="preserve"> (INT(November6[[#This Row],[End Time]]/100)*60 + MOD(November6[[#This Row],[End Time]],100)) - (INT(November6[[#This Row],[Start Time]]/100)*60 + MOD(November6[[#This Row],[Start Time]],100))</f>
        <v>0</v>
      </c>
      <c r="O17" t="s">
        <v>16</v>
      </c>
      <c r="P17" t="s">
        <v>13</v>
      </c>
      <c r="AJ17" s="5">
        <v>6</v>
      </c>
      <c r="AK17" s="6" cm="1">
        <f t="array" ref="AK17">_xlfn.IFS(November12[[#This Row],[Points]]=2, 1, November12[[#This Row],[Points]]=6, 2, November12[[#This Row],[Points]]=14, 3, November12[[#This Row],[Points]]=25, 3)</f>
        <v>2</v>
      </c>
      <c r="AN17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8" spans="1:40" x14ac:dyDescent="0.25">
      <c r="A18">
        <v>6</v>
      </c>
      <c r="B18" cm="1">
        <f t="array" ref="B18">_xlfn.IFS(November6[[#This Row],[Points]]=2, 1, November6[[#This Row],[Points]]=6, 2, November6[[#This Row],[Points]]=14, 3, November6[[#This Row],[Points]]=25, 3)</f>
        <v>2</v>
      </c>
      <c r="E18">
        <f xml:space="preserve"> (INT(November6[[#This Row],[End Time]]/100)*60 + MOD(November6[[#This Row],[End Time]],100)) - (INT(November6[[#This Row],[Start Time]]/100)*60 + MOD(November6[[#This Row],[Start Time]],100))</f>
        <v>0</v>
      </c>
      <c r="O18">
        <f>ROWS(November9[Points])</f>
        <v>10</v>
      </c>
      <c r="P18">
        <f>November9[[#Totals],[Points]]/ROWS(November9[Points])</f>
        <v>7.1</v>
      </c>
      <c r="AJ18" s="5">
        <v>6</v>
      </c>
      <c r="AK18" s="6" cm="1">
        <f t="array" ref="AK18">_xlfn.IFS(November12[[#This Row],[Points]]=2, 1, November12[[#This Row],[Points]]=6, 2, November12[[#This Row],[Points]]=14, 3, November12[[#This Row],[Points]]=25, 3)</f>
        <v>2</v>
      </c>
      <c r="AN18">
        <f xml:space="preserve"> (INT(November12[[#This Row],[End Time]]/100)*60 + MOD(November12[[#This Row],[End Time]],100)) - (INT(November12[[#This Row],[Start Time]]/100)*60 + MOD(November12[[#This Row],[Start Time]],100))</f>
        <v>0</v>
      </c>
    </row>
    <row r="19" spans="1:40" x14ac:dyDescent="0.25">
      <c r="A19">
        <v>2</v>
      </c>
      <c r="B19" cm="1">
        <f t="array" ref="B19">_xlfn.IFS(November6[[#This Row],[Points]]=2, 1, November6[[#This Row],[Points]]=6, 2, November6[[#This Row],[Points]]=14, 3, November6[[#This Row],[Points]]=25, 3)</f>
        <v>1</v>
      </c>
      <c r="E19">
        <f xml:space="preserve"> (INT(November6[[#This Row],[End Time]]/100)*60 + MOD(November6[[#This Row],[End Time]],100)) - (INT(November6[[#This Row],[Start Time]]/100)*60 + MOD(November6[[#This Row],[Start Time]],100))</f>
        <v>0</v>
      </c>
      <c r="AJ19">
        <f>SUM(November12[Points])</f>
        <v>87</v>
      </c>
      <c r="AK19">
        <f>SUM(November12[Rounds])</f>
        <v>25</v>
      </c>
      <c r="AN19">
        <f>SUM(November12[Playtime (Minutes)])</f>
        <v>318</v>
      </c>
    </row>
    <row r="20" spans="1:40" x14ac:dyDescent="0.25">
      <c r="A20">
        <v>2</v>
      </c>
      <c r="B20" cm="1">
        <f t="array" ref="B20">_xlfn.IFS(November6[[#This Row],[Points]]=2, 1, November6[[#This Row],[Points]]=6, 2, November6[[#This Row],[Points]]=14, 3, November6[[#This Row],[Points]]=25, 3)</f>
        <v>1</v>
      </c>
      <c r="E20">
        <f xml:space="preserve"> (INT(November6[[#This Row],[End Time]]/100)*60 + MOD(November6[[#This Row],[End Time]],100)) - (INT(November6[[#This Row],[Start Time]]/100)*60 + MOD(November6[[#This Row],[Start Time]],100))</f>
        <v>0</v>
      </c>
      <c r="AJ20" t="s">
        <v>19</v>
      </c>
      <c r="AK20" t="s">
        <v>21</v>
      </c>
      <c r="AL20" t="s">
        <v>12</v>
      </c>
      <c r="AM20" t="s">
        <v>13</v>
      </c>
      <c r="AN20" s="1" t="str">
        <f>INT(November12[[#Totals],[Playtime (Minutes)]]/60)&amp;" hrs  "&amp;INT(MOD(November12[[#Totals],[Playtime (Minutes)]],60))&amp;" mins"</f>
        <v>5 hrs  18 mins</v>
      </c>
    </row>
    <row r="21" spans="1:40" x14ac:dyDescent="0.25">
      <c r="A21">
        <v>6</v>
      </c>
      <c r="B21" cm="1">
        <f t="array" ref="B21">_xlfn.IFS(November6[[#This Row],[Points]]=2, 1, November6[[#This Row],[Points]]=6, 2, November6[[#This Row],[Points]]=14, 3, November6[[#This Row],[Points]]=25, 3)</f>
        <v>2</v>
      </c>
      <c r="E21">
        <f xml:space="preserve"> (INT(November6[[#This Row],[End Time]]/100)*60 + MOD(November6[[#This Row],[End Time]],100)) - (INT(November6[[#This Row],[Start Time]]/100)*60 + MOD(November6[[#This Row],[Start Time]],100))</f>
        <v>0</v>
      </c>
      <c r="AJ21">
        <f>November12[[#Totals],[Playtime (Minutes)]]/November12[[#Totals],[Rounds]]</f>
        <v>12.72</v>
      </c>
      <c r="AK21">
        <f>November12[[#Totals],[Points]]/November12[[#Totals],[Rounds]]</f>
        <v>3.48</v>
      </c>
      <c r="AL21">
        <f>November12[[#Totals],[Playtime (Minutes)]]/November12[[#Totals],[Points]]</f>
        <v>3.6551724137931036</v>
      </c>
      <c r="AM21">
        <f>November12[[#Totals],[Points]]/November12[[#Totals],[Playtime (Minutes)]]</f>
        <v>0.27358490566037735</v>
      </c>
    </row>
    <row r="22" spans="1:40" x14ac:dyDescent="0.25">
      <c r="A22">
        <v>2</v>
      </c>
      <c r="B22" cm="1">
        <f t="array" ref="B22">_xlfn.IFS(November6[[#This Row],[Points]]=2, 1, November6[[#This Row],[Points]]=6, 2, November6[[#This Row],[Points]]=14, 3, November6[[#This Row],[Points]]=25, 3)</f>
        <v>1</v>
      </c>
      <c r="E22">
        <f xml:space="preserve"> (INT(November6[[#This Row],[End Time]]/100)*60 + MOD(November6[[#This Row],[End Time]],100)) - (INT(November6[[#This Row],[Start Time]]/100)*60 + MOD(November6[[#This Row],[Start Time]],100))</f>
        <v>0</v>
      </c>
    </row>
    <row r="23" spans="1:40" x14ac:dyDescent="0.25">
      <c r="A23">
        <v>2</v>
      </c>
      <c r="B23" cm="1">
        <f t="array" ref="B23">_xlfn.IFS(November6[[#This Row],[Points]]=2, 1, November6[[#This Row],[Points]]=6, 2, November6[[#This Row],[Points]]=14, 3, November6[[#This Row],[Points]]=25, 3)</f>
        <v>1</v>
      </c>
      <c r="E23">
        <f xml:space="preserve"> (INT(November6[[#This Row],[End Time]]/100)*60 + MOD(November6[[#This Row],[End Time]],100)) - (INT(November6[[#This Row],[Start Time]]/100)*60 + MOD(November6[[#This Row],[Start Time]],100))</f>
        <v>0</v>
      </c>
      <c r="AJ23" t="s">
        <v>16</v>
      </c>
      <c r="AK23" t="s">
        <v>13</v>
      </c>
    </row>
    <row r="24" spans="1:40" x14ac:dyDescent="0.25">
      <c r="A24">
        <v>25</v>
      </c>
      <c r="B24" cm="1">
        <f t="array" ref="B24">_xlfn.IFS(November6[[#This Row],[Points]]=2, 1, November6[[#This Row],[Points]]=6, 2, November6[[#This Row],[Points]]=14, 3, November6[[#This Row],[Points]]=25, 3)</f>
        <v>3</v>
      </c>
      <c r="E24">
        <f xml:space="preserve"> (INT(November6[[#This Row],[End Time]]/100)*60 + MOD(November6[[#This Row],[End Time]],100)) - (INT(November6[[#This Row],[Start Time]]/100)*60 + MOD(November6[[#This Row],[Start Time]],100))</f>
        <v>0</v>
      </c>
      <c r="AJ24">
        <f>ROWS(November12[Points])</f>
        <v>16</v>
      </c>
      <c r="AK24">
        <f>November12[[#Totals],[Points]]/ROWS(November12[Points])</f>
        <v>5.4375</v>
      </c>
    </row>
    <row r="25" spans="1:40" x14ac:dyDescent="0.25">
      <c r="A25">
        <f>SUM(November6[Points])</f>
        <v>141</v>
      </c>
      <c r="B25">
        <f>SUM(November6[Rounds])</f>
        <v>34</v>
      </c>
      <c r="E25">
        <f>SUM(November6[Playtime (Minutes)])</f>
        <v>445</v>
      </c>
    </row>
    <row r="26" spans="1:40" x14ac:dyDescent="0.25">
      <c r="A26" t="s">
        <v>19</v>
      </c>
      <c r="B26" t="s">
        <v>21</v>
      </c>
      <c r="C26" t="s">
        <v>12</v>
      </c>
      <c r="D26" t="s">
        <v>13</v>
      </c>
      <c r="E26" s="1" t="str">
        <f>INT(November6[[#Totals],[Playtime (Minutes)]]/60)&amp;" hrs  "&amp;INT(MOD(November6[[#Totals],[Playtime (Minutes)]],60))&amp;" mins"</f>
        <v>7 hrs  25 mins</v>
      </c>
    </row>
    <row r="27" spans="1:40" x14ac:dyDescent="0.25">
      <c r="A27">
        <f>November6[[#Totals],[Playtime (Minutes)]]/November6[[#Totals],[Rounds]]</f>
        <v>13.088235294117647</v>
      </c>
      <c r="B27">
        <f>November6[[#Totals],[Points]]/November6[[#Totals],[Rounds]]</f>
        <v>4.1470588235294121</v>
      </c>
      <c r="C27">
        <f>November6[[#Totals],[Playtime (Minutes)]]/November6[[#Totals],[Points]]</f>
        <v>3.1560283687943262</v>
      </c>
      <c r="D27">
        <f>November6[[#Totals],[Points]]/November6[[#Totals],[Playtime (Minutes)]]</f>
        <v>0.31685393258426964</v>
      </c>
    </row>
    <row r="29" spans="1:40" x14ac:dyDescent="0.25">
      <c r="A29" t="s">
        <v>16</v>
      </c>
      <c r="B29" t="s">
        <v>13</v>
      </c>
    </row>
    <row r="30" spans="1:40" x14ac:dyDescent="0.25">
      <c r="A30">
        <f>ROWS(November6[Points])</f>
        <v>22</v>
      </c>
      <c r="B30">
        <f>November6[[#Totals],[Points]]/ROWS(November6[Points])</f>
        <v>6.4090909090909092</v>
      </c>
    </row>
  </sheetData>
  <mergeCells count="6">
    <mergeCell ref="AJ1:AN1"/>
    <mergeCell ref="A1:E1"/>
    <mergeCell ref="H1:L1"/>
    <mergeCell ref="O1:S1"/>
    <mergeCell ref="V1:Z1"/>
    <mergeCell ref="AC1:AG1"/>
  </mergeCells>
  <phoneticPr fontId="2" type="noConversion"/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DailyData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Lovett</dc:creator>
  <cp:lastModifiedBy>Liam Lovett</cp:lastModifiedBy>
  <dcterms:created xsi:type="dcterms:W3CDTF">2015-06-05T18:17:20Z</dcterms:created>
  <dcterms:modified xsi:type="dcterms:W3CDTF">2025-11-13T02:16:03Z</dcterms:modified>
</cp:coreProperties>
</file>