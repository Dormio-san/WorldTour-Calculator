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F00A8ACA-93BA-4379-88DB-3B5C122BAB3F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2" l="1" a="1"/>
  <c r="W9" i="2" s="1"/>
  <c r="Z9" i="2"/>
  <c r="W8" i="2" a="1"/>
  <c r="W8" i="2" s="1"/>
  <c r="Z8" i="2"/>
  <c r="W7" i="2" a="1"/>
  <c r="W7" i="2" s="1"/>
  <c r="Z7" i="2"/>
  <c r="W6" i="2" a="1"/>
  <c r="W6" i="2" s="1"/>
  <c r="Z6" i="2"/>
  <c r="W5" i="2" a="1"/>
  <c r="W5" i="2" s="1"/>
  <c r="Z5" i="2"/>
  <c r="W4" i="2" a="1"/>
  <c r="W4" i="2" s="1"/>
  <c r="Z4" i="2"/>
  <c r="V10" i="2"/>
  <c r="B5" i="1" s="1"/>
  <c r="Z3" i="2"/>
  <c r="W3" i="2" a="1"/>
  <c r="W3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B4" i="1" s="1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B3" i="1" s="1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B2" i="1" s="1"/>
  <c r="Z10" i="2" l="1"/>
  <c r="Z11" i="2" s="1"/>
  <c r="W10" i="2"/>
  <c r="C5" i="1" s="1"/>
  <c r="D5" i="1"/>
  <c r="B6" i="1"/>
  <c r="P13" i="2"/>
  <c r="C4" i="1" s="1"/>
  <c r="S13" i="2"/>
  <c r="L9" i="2"/>
  <c r="I9" i="2"/>
  <c r="E25" i="2"/>
  <c r="B25" i="2"/>
  <c r="C2" i="1" s="1"/>
  <c r="Y12" i="2" l="1"/>
  <c r="X12" i="2"/>
  <c r="J11" i="2"/>
  <c r="H11" i="2"/>
  <c r="O15" i="2"/>
  <c r="Q15" i="2"/>
  <c r="C27" i="2"/>
  <c r="A27" i="2"/>
  <c r="C3" i="1"/>
  <c r="C6" i="1" s="1"/>
  <c r="H2" i="1" s="1"/>
  <c r="I11" i="2"/>
  <c r="P15" i="2"/>
  <c r="D27" i="2"/>
  <c r="K11" i="2"/>
  <c r="R15" i="2"/>
  <c r="B27" i="2"/>
  <c r="W12" i="2"/>
  <c r="V12" i="2"/>
  <c r="L10" i="2"/>
  <c r="D3" i="1"/>
  <c r="S14" i="2"/>
  <c r="D4" i="1"/>
  <c r="E26" i="2"/>
  <c r="D2" i="1"/>
  <c r="D6" i="1" s="1"/>
  <c r="I2" i="1" s="1"/>
  <c r="I3" i="1" s="1" a="1"/>
  <c r="I3" i="1" s="1"/>
  <c r="J2" i="1" l="1"/>
  <c r="G2" i="1"/>
  <c r="G3" i="1" s="1" a="1"/>
  <c r="G3" i="1" s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<sst xmlns="http://schemas.openxmlformats.org/spreadsheetml/2006/main" count="53" uniqueCount="22">
  <si>
    <t>Total Games</t>
  </si>
  <si>
    <t>Total Points</t>
  </si>
  <si>
    <t>Total</t>
  </si>
  <si>
    <t>Date</t>
  </si>
  <si>
    <t>November 6th</t>
  </si>
  <si>
    <t>November 7th</t>
  </si>
  <si>
    <t>November 9th</t>
  </si>
  <si>
    <t>Points</t>
  </si>
  <si>
    <t>Games</t>
  </si>
  <si>
    <t>End Time</t>
  </si>
  <si>
    <t>Start Time</t>
  </si>
  <si>
    <t>Playtime (Minutes)</t>
  </si>
  <si>
    <t>November 10th</t>
  </si>
  <si>
    <t>Total Playtime (Minutes)</t>
  </si>
  <si>
    <t>PPG</t>
  </si>
  <si>
    <t>MPP</t>
  </si>
  <si>
    <t>PPM</t>
  </si>
  <si>
    <t>Average Game Time (AGT)</t>
  </si>
  <si>
    <t>Points Per Game (PPG)</t>
  </si>
  <si>
    <t>Minutes Per Point (MPP)</t>
  </si>
  <si>
    <t>Points Per Minute (PPM)</t>
  </si>
  <si>
    <t>AGT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</si>
</sst>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NumberFormat="1" applyAlignment="1"/>
  </cellXfs>
  <cellStyles count="2">
    <cellStyle name="Hyperlink" xfId="1" builtinId="8"/>
    <cellStyle name="Normal" xfId="0" builtinId="0"/>
  </cellStyles>
  <dxfs count="35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6" totalsRowCount="1" headerRowDxfId="34">
  <autoFilter ref="A1:D5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Games" totalsRowFunction="custom" dataDxfId="33">
      <calculatedColumnFormula>November6[[#Totals],[Points]]</calculatedColumnFormula>
      <totalsRowFormula>SUM(Totals[Total Games])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32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Game Time (AGT)" totalsRowFunction="custom" dataDxfId="31" totalsRowDxfId="30">
      <calculatedColumnFormula>Totals[[#Totals],[Total Playtime (Minutes)]]/Totals[[#Totals],[Total Games]]</calculatedColumnFormula>
      <totalsRowFormula array="1">INT(Averages[Average Game Time (AGT)])&amp;" minutes"</totalsRowFormula>
    </tableColumn>
    <tableColumn id="2" xr3:uid="{E04C1373-75E0-4A6C-A2C9-4AA9B2CD365B}" name="Points Per Game (PPG)" dataDxfId="29">
      <calculatedColumnFormula>Totals[[#Totals],[Total Points]]/Totals[[#Totals],[Total Games]]</calculatedColumnFormula>
    </tableColumn>
    <tableColumn id="4" xr3:uid="{89B46B09-6052-4D3C-AAEC-F9A7E8580516}" name="Minutes Per Point (MPP)" dataDxfId="28">
      <calculatedColumnFormula>Totals[[#Totals],[Total Playtime (Minutes)]]/Totals[[#Totals],[Total Points]]</calculatedColumnFormula>
    </tableColumn>
    <tableColumn id="3" xr3:uid="{728FBC8B-7DB9-4E00-BB6D-2AFFBA13751D}" name="Points Per Minute (PPM)" dataDxfId="27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26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25" totalsRowDxfId="24">
      <totalsRowFormula>SUM(November6[Points])</totalsRowFormula>
    </tableColumn>
    <tableColumn id="2" xr3:uid="{73EA15C4-D270-483C-AF4F-24B0B93502DB}" name="Games" totalsRowFunction="custom" dataDxfId="23" totalsRowDxfId="22">
      <calculatedColumnFormula array="1">_xlfn.IFS(November6[[#This Row],[Points]]=2, 1, November6[[#This Row],[Points]]=6, 2, November6[[#This Row],[Points]]=14, 3, November6[[#This Row],[Points]]=25, 3)</calculatedColumnFormula>
      <totalsRowFormula>SUM(November6[Games])</totalsRowFormula>
    </tableColumn>
    <tableColumn id="4" xr3:uid="{B3F474C8-DDEB-4DBF-A1DC-4AFC668AED9D}" name="Start Time" totalsRowDxfId="21"/>
    <tableColumn id="5" xr3:uid="{8665BCD7-C389-46C0-8A10-F495D85709FF}" name="End Time" totalsRowDxfId="20"/>
    <tableColumn id="6" xr3:uid="{5DE48718-2A9C-4594-A3FE-0C43DCAFF2C2}" name="Playtime (Minutes)" totalsRowFunction="custom" totalsRowDxfId="19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18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17" totalsRowDxfId="16">
      <totalsRowFormula>SUM(November7[Points])</totalsRowFormula>
    </tableColumn>
    <tableColumn id="2" xr3:uid="{D7CDB5A2-50B5-4939-8668-1785714D08C7}" name="Games" totalsRowFunction="custom" dataDxfId="15" totalsRowDxfId="14">
      <calculatedColumnFormula array="1">_xlfn.IFS(November7[[#This Row],[Points]]=2, 1, November7[[#This Row],[Points]]=6, 2, November7[[#This Row],[Points]]=14, 3, November7[[#This Row],[Points]]=25, 3)</calculatedColumnFormula>
      <totalsRowFormula>SUM(November7[Games])</totalsRowFormula>
    </tableColumn>
    <tableColumn id="4" xr3:uid="{28309402-7EF3-454D-883F-D251D524A71A}" name="Start Time" totalsRowDxfId="13"/>
    <tableColumn id="5" xr3:uid="{74A71E4E-B89F-47C8-B7A2-E5012A8EEFF3}" name="End Time" totalsRowDxfId="12"/>
    <tableColumn id="6" xr3:uid="{5610F31C-E244-4937-8B69-B467C9F24C5D}" name="Playtime (Minutes)" totalsRowFunction="custom" totalsRowDxfId="11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0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9" totalsRowDxfId="8">
      <totalsRowFormula>SUM(November9[Points])</totalsRowFormula>
    </tableColumn>
    <tableColumn id="2" xr3:uid="{423C97EA-A31A-446C-BECE-2F0330150ABC}" name="Games" totalsRowFunction="custom" dataDxfId="7" totalsRowDxfId="6">
      <calculatedColumnFormula array="1">_xlfn.IFS(November9[[#This Row],[Points]]=2, 1, November9[[#This Row],[Points]]=6, 2, November9[[#This Row],[Points]]=14, 3, November9[[#This Row],[Points]]=25, 3)</calculatedColumnFormula>
      <totalsRowFormula>SUM(November9[Games])</totalsRowFormula>
    </tableColumn>
    <tableColumn id="4" xr3:uid="{C922EE3A-46E9-42C2-B0FC-BF56A61D0BD7}" name="Start Time" totalsRowDxfId="5"/>
    <tableColumn id="5" xr3:uid="{6E1643A5-7328-4CFF-9BB2-C0C48B9C9925}" name="End Time" totalsRowDxfId="4"/>
    <tableColumn id="6" xr3:uid="{F4DDC90C-E19C-46A6-93D1-39B9313C9028}" name="Playtime (Minutes)" totalsRowFunction="custom" totalsRowDxfId="3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10" totalsRowCount="1" headerRowDxfId="2">
  <autoFilter ref="V2:Z9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1">
      <totalsRowFormula>SUM(November10[Points])</totalsRowFormula>
    </tableColumn>
    <tableColumn id="2" xr3:uid="{D4B36161-B381-44F4-8DD1-C5FEFF82C827}" name="Games" totalsRowFunction="custom" dataDxfId="0">
      <calculatedColumnFormula array="1">_xlfn.IFS(November10[[#This Row],[Points]]=2, 1, November10[[#This Row],[Points]]=6, 2, November10[[#This Row],[Points]]=14, 3, November10[[#This Row],[Points]]=25, 3)</calculatedColumnFormula>
      <totalsRowFormula>SUM(November10[Games])</totalsRowFormula>
    </tableColumn>
    <tableColumn id="4" xr3:uid="{F8CE62ED-FE69-4019-BE42-B64F0A253950}" name="Start Time"/>
    <tableColumn id="5" xr3:uid="{504A287C-496D-4EBC-8784-5941FCB774D0}" name="End Time"/>
    <tableColumn id="6" xr3:uid="{F8ED1A20-4635-4A6C-8262-26D3B0886256}" name="Playtime (Minutes)" totalsRowFunction="custom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workbookViewId="0">
      <selection activeCell="H16" sqref="H16"/>
    </sheetView>
  </sheetViews>
  <sheetFormatPr defaultRowHeight="15" x14ac:dyDescent="0.25"/>
  <cols>
    <col min="1" max="1" width="14.85546875" bestFit="1" customWidth="1"/>
    <col min="2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9.42578125" bestFit="1" customWidth="1"/>
    <col min="8" max="8" width="26.28515625" bestFit="1" customWidth="1"/>
    <col min="9" max="10" width="28" bestFit="1" customWidth="1"/>
  </cols>
  <sheetData>
    <row r="1" spans="1:10" x14ac:dyDescent="0.25">
      <c r="A1" s="1" t="s">
        <v>3</v>
      </c>
      <c r="B1" s="1" t="s">
        <v>1</v>
      </c>
      <c r="C1" s="1" t="s">
        <v>0</v>
      </c>
      <c r="D1" s="1" t="s">
        <v>13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s="2" t="s">
        <v>4</v>
      </c>
      <c r="B2">
        <f>November6[[#Totals],[Points]]</f>
        <v>141</v>
      </c>
      <c r="C2">
        <f>November6[[#Totals],[Games]]</f>
        <v>34</v>
      </c>
      <c r="D2">
        <f>November6[[#Totals],[Playtime (Minutes)]]</f>
        <v>445</v>
      </c>
      <c r="G2" s="1">
        <f>Totals[[#Totals],[Total Playtime (Minutes)]]/Totals[[#Totals],[Total Games]]</f>
        <v>12.752941176470589</v>
      </c>
      <c r="H2" s="1">
        <f>Totals[[#Totals],[Total Points]]/Totals[[#Totals],[Total Games]]</f>
        <v>4.7647058823529411</v>
      </c>
      <c r="I2" s="1">
        <f>Totals[[#Totals],[Total Playtime (Minutes)]]/Totals[[#Totals],[Total Points]]</f>
        <v>2.6765432098765434</v>
      </c>
      <c r="J2" s="1">
        <f>Totals[[#Totals],[Total Points]]/Totals[[#Totals],[Total Playtime (Minutes)]]</f>
        <v>0.37361623616236161</v>
      </c>
    </row>
    <row r="3" spans="1:10" x14ac:dyDescent="0.25">
      <c r="A3" s="2" t="s">
        <v>5</v>
      </c>
      <c r="B3">
        <f>November7[[#Totals],[Points]]</f>
        <v>59</v>
      </c>
      <c r="C3">
        <f>November7[[#Totals],[Games]]</f>
        <v>13</v>
      </c>
      <c r="D3">
        <f>November7[[#Totals],[Playtime (Minutes)]]</f>
        <v>169</v>
      </c>
      <c r="G3" s="1" t="str" cm="1">
        <f t="array" ref="G3">INT(Averages[Average Game Time (AGT)])&amp;" minutes"</f>
        <v>12 minutes</v>
      </c>
      <c r="I3" s="1" t="str" cm="1">
        <f t="array" ref="I3">INT(Averages[Minutes Per Point (MPP)])&amp;" minutes"</f>
        <v>2 minutes</v>
      </c>
    </row>
    <row r="4" spans="1:10" x14ac:dyDescent="0.25">
      <c r="A4" s="2" t="s">
        <v>6</v>
      </c>
      <c r="B4">
        <f>November9[[#Totals],[Points]]</f>
        <v>71</v>
      </c>
      <c r="C4">
        <f>November9[[#Totals],[Games]]</f>
        <v>18</v>
      </c>
      <c r="D4">
        <f>November9[[#Totals],[Playtime (Minutes)]]</f>
        <v>232</v>
      </c>
    </row>
    <row r="5" spans="1:10" x14ac:dyDescent="0.25">
      <c r="A5" s="2" t="s">
        <v>12</v>
      </c>
      <c r="B5">
        <f>November10[[#Totals],[Points]]</f>
        <v>134</v>
      </c>
      <c r="C5">
        <f>IFERROR(November10[[#Totals],[Games]], 0)</f>
        <v>20</v>
      </c>
      <c r="D5">
        <f>November10[[#Totals],[Playtime (Minutes)]]</f>
        <v>238</v>
      </c>
    </row>
    <row r="6" spans="1:10" x14ac:dyDescent="0.25">
      <c r="A6" t="s">
        <v>2</v>
      </c>
      <c r="B6">
        <f>SUM(Totals[Total Points])</f>
        <v>405</v>
      </c>
      <c r="C6">
        <f>SUM(Totals[Total Games])</f>
        <v>85</v>
      </c>
      <c r="D6">
        <f>SUM(Totals[Total Playtime (Minutes)])</f>
        <v>1084</v>
      </c>
    </row>
    <row r="7" spans="1:10" x14ac:dyDescent="0.25">
      <c r="D7" s="1" t="str">
        <f>INT(Totals[[#Totals],[Total Playtime (Minutes)]]/60)&amp;" hours  "&amp;INT(MOD(Totals[[#Totals],[Total Playtime (Minutes)]],60))&amp;" minutes"</f>
        <v>18 hours  4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</hyperlinks>
  <pageMargins left="0.7" right="0.7" top="0.75" bottom="0.75" header="0.3" footer="0.3"/>
  <ignoredErrors>
    <ignoredError sqref="C2:C3 C4:C5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Z27"/>
  <sheetViews>
    <sheetView tabSelected="1" workbookViewId="0">
      <selection activeCell="A28" sqref="A28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</cols>
  <sheetData>
    <row r="1" spans="1:26" ht="18.75" x14ac:dyDescent="0.25">
      <c r="A1" s="3" t="s">
        <v>4</v>
      </c>
      <c r="B1" s="3"/>
      <c r="C1" s="3"/>
      <c r="D1" s="3"/>
      <c r="E1" s="3"/>
      <c r="H1" s="3" t="s">
        <v>5</v>
      </c>
      <c r="I1" s="3"/>
      <c r="J1" s="3"/>
      <c r="K1" s="3"/>
      <c r="L1" s="3"/>
      <c r="O1" s="3" t="s">
        <v>6</v>
      </c>
      <c r="P1" s="3"/>
      <c r="Q1" s="3"/>
      <c r="R1" s="3"/>
      <c r="S1" s="3"/>
      <c r="V1" s="3" t="s">
        <v>12</v>
      </c>
      <c r="W1" s="3"/>
      <c r="X1" s="3"/>
      <c r="Y1" s="3"/>
      <c r="Z1" s="3"/>
    </row>
    <row r="2" spans="1:26" x14ac:dyDescent="0.25">
      <c r="A2" s="1" t="s">
        <v>7</v>
      </c>
      <c r="B2" s="1" t="s">
        <v>8</v>
      </c>
      <c r="C2" s="1" t="s">
        <v>10</v>
      </c>
      <c r="D2" s="1" t="s">
        <v>9</v>
      </c>
      <c r="E2" s="1" t="s">
        <v>11</v>
      </c>
      <c r="H2" s="1" t="s">
        <v>7</v>
      </c>
      <c r="I2" s="1" t="s">
        <v>8</v>
      </c>
      <c r="J2" s="1" t="s">
        <v>10</v>
      </c>
      <c r="K2" s="1" t="s">
        <v>9</v>
      </c>
      <c r="L2" s="1" t="s">
        <v>11</v>
      </c>
      <c r="O2" s="1" t="s">
        <v>7</v>
      </c>
      <c r="P2" s="1" t="s">
        <v>8</v>
      </c>
      <c r="Q2" s="1" t="s">
        <v>10</v>
      </c>
      <c r="R2" s="1" t="s">
        <v>9</v>
      </c>
      <c r="S2" s="1" t="s">
        <v>11</v>
      </c>
      <c r="V2" s="1" t="s">
        <v>7</v>
      </c>
      <c r="W2" s="1" t="s">
        <v>8</v>
      </c>
      <c r="X2" s="1" t="s">
        <v>10</v>
      </c>
      <c r="Y2" s="1" t="s">
        <v>9</v>
      </c>
      <c r="Z2" s="1" t="s">
        <v>11</v>
      </c>
    </row>
    <row r="3" spans="1:26" x14ac:dyDescent="0.25">
      <c r="A3">
        <v>2</v>
      </c>
      <c r="B3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>
        <v>25</v>
      </c>
      <c r="I3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>
        <v>25</v>
      </c>
      <c r="P3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>
        <v>14</v>
      </c>
      <c r="W3" cm="1">
        <f t="array" ref="W3">_xlfn.IFS(November10[[#This Row],[Points]]=2, 1, November10[[#This Row],[Points]]=6, 2, November10[[#This Row],[Points]]=14, 3, November10[[#This Row],[Points]]=25, 3)</f>
        <v>3</v>
      </c>
      <c r="X3">
        <v>1145</v>
      </c>
      <c r="Y3">
        <v>1543</v>
      </c>
      <c r="Z3">
        <f xml:space="preserve"> (INT(November10[[#This Row],[End Time]]/100)*60 + MOD(November10[[#This Row],[End Time]],100)) - (INT(November10[[#This Row],[Start Time]]/100)*60 + MOD(November10[[#This Row],[Start Time]],100))</f>
        <v>238</v>
      </c>
    </row>
    <row r="4" spans="1:26" x14ac:dyDescent="0.25">
      <c r="A4">
        <v>2</v>
      </c>
      <c r="B4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>
        <v>2</v>
      </c>
      <c r="I4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>
        <v>6</v>
      </c>
      <c r="P4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 s="4">
        <v>25</v>
      </c>
      <c r="W4" s="5" cm="1">
        <f t="array" ref="W4">_xlfn.IFS(November10[[#This Row],[Points]]=2, 1, November10[[#This Row],[Points]]=6, 2, November10[[#This Row],[Points]]=14, 3, November10[[#This Row],[Points]]=25, 3)</f>
        <v>3</v>
      </c>
      <c r="Z4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5" spans="1:26" x14ac:dyDescent="0.25">
      <c r="A5">
        <v>25</v>
      </c>
      <c r="B5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>
        <v>6</v>
      </c>
      <c r="I5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>
        <v>2</v>
      </c>
      <c r="P5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V5" s="4">
        <v>25</v>
      </c>
      <c r="W5" s="5" cm="1">
        <f t="array" ref="W5">_xlfn.IFS(November10[[#This Row],[Points]]=2, 1, November10[[#This Row],[Points]]=6, 2, November10[[#This Row],[Points]]=14, 3, November10[[#This Row],[Points]]=25, 3)</f>
        <v>3</v>
      </c>
      <c r="Z5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6" spans="1:26" x14ac:dyDescent="0.25">
      <c r="A6">
        <v>2</v>
      </c>
      <c r="B6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>
        <v>6</v>
      </c>
      <c r="I6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>
        <v>2</v>
      </c>
      <c r="P6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  <c r="V6" s="4">
        <v>25</v>
      </c>
      <c r="W6" s="5" cm="1">
        <f t="array" ref="W6">_xlfn.IFS(November10[[#This Row],[Points]]=2, 1, November10[[#This Row],[Points]]=6, 2, November10[[#This Row],[Points]]=14, 3, November10[[#This Row],[Points]]=25, 3)</f>
        <v>3</v>
      </c>
      <c r="Z6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7" spans="1:26" x14ac:dyDescent="0.25">
      <c r="A7">
        <v>14</v>
      </c>
      <c r="B7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>
        <v>14</v>
      </c>
      <c r="I7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>
        <v>2</v>
      </c>
      <c r="P7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  <c r="V7" s="4">
        <v>14</v>
      </c>
      <c r="W7" s="5" cm="1">
        <f t="array" ref="W7">_xlfn.IFS(November10[[#This Row],[Points]]=2, 1, November10[[#This Row],[Points]]=6, 2, November10[[#This Row],[Points]]=14, 3, November10[[#This Row],[Points]]=25, 3)</f>
        <v>3</v>
      </c>
      <c r="Z7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8" spans="1:26" x14ac:dyDescent="0.25">
      <c r="A8">
        <v>2</v>
      </c>
      <c r="B8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>
        <v>6</v>
      </c>
      <c r="I8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>
        <v>2</v>
      </c>
      <c r="P8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  <c r="V8" s="4">
        <v>25</v>
      </c>
      <c r="W8" s="5" cm="1">
        <f t="array" ref="W8">_xlfn.IFS(November10[[#This Row],[Points]]=2, 1, November10[[#This Row],[Points]]=6, 2, November10[[#This Row],[Points]]=14, 3, November10[[#This Row],[Points]]=25, 3)</f>
        <v>3</v>
      </c>
      <c r="Z8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9" spans="1:26" x14ac:dyDescent="0.25">
      <c r="A9">
        <v>2</v>
      </c>
      <c r="B9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>
        <f>SUM(November7[Points])</f>
        <v>59</v>
      </c>
      <c r="I9">
        <f>SUM(November7[Games])</f>
        <v>13</v>
      </c>
      <c r="L9">
        <f>SUM(November7[Playtime (Minutes)])</f>
        <v>169</v>
      </c>
      <c r="O9">
        <v>6</v>
      </c>
      <c r="P9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  <c r="V9" s="4">
        <v>6</v>
      </c>
      <c r="W9" s="5" cm="1">
        <f t="array" ref="W9">_xlfn.IFS(November10[[#This Row],[Points]]=2, 1, November10[[#This Row],[Points]]=6, 2, November10[[#This Row],[Points]]=14, 3, November10[[#This Row],[Points]]=25, 3)</f>
        <v>2</v>
      </c>
      <c r="Z9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10" spans="1:26" x14ac:dyDescent="0.25">
      <c r="A10">
        <v>6</v>
      </c>
      <c r="B10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H10" t="s">
        <v>21</v>
      </c>
      <c r="I10" t="s">
        <v>14</v>
      </c>
      <c r="J10" t="s">
        <v>15</v>
      </c>
      <c r="K10" t="s">
        <v>16</v>
      </c>
      <c r="L10" s="1" t="str">
        <f>INT(November7[[#Totals],[Playtime (Minutes)]]/60)&amp;" hrs  "&amp;INT(MOD(November7[[#Totals],[Playtime (Minutes)]],60))&amp;" mins"</f>
        <v>2 hrs  49 mins</v>
      </c>
      <c r="O10">
        <v>6</v>
      </c>
      <c r="P10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  <c r="V10">
        <f>SUM(November10[Points])</f>
        <v>134</v>
      </c>
      <c r="W10">
        <f>SUM(November10[Games])</f>
        <v>20</v>
      </c>
      <c r="Z10">
        <f>SUM(November10[Playtime (Minutes)])</f>
        <v>238</v>
      </c>
    </row>
    <row r="11" spans="1:26" x14ac:dyDescent="0.25">
      <c r="A11">
        <v>2</v>
      </c>
      <c r="B11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H11">
        <f>November7[[#Totals],[Playtime (Minutes)]]/November7[[#Totals],[Games]]</f>
        <v>13</v>
      </c>
      <c r="I11">
        <f>November7[[#Totals],[Points]]/November7[[#Totals],[Games]]</f>
        <v>4.5384615384615383</v>
      </c>
      <c r="J11">
        <f>November7[[#Totals],[Playtime (Minutes)]]/November7[[#Totals],[Points]]</f>
        <v>2.8644067796610169</v>
      </c>
      <c r="K11">
        <f>November7[[#Totals],[Points]]/November7[[#Totals],[Playtime (Minutes)]]</f>
        <v>0.34911242603550297</v>
      </c>
      <c r="O11">
        <v>6</v>
      </c>
      <c r="P11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  <c r="V11" t="s">
        <v>21</v>
      </c>
      <c r="W11" t="s">
        <v>14</v>
      </c>
      <c r="X11" t="s">
        <v>15</v>
      </c>
      <c r="Y11" t="s">
        <v>16</v>
      </c>
      <c r="Z11" s="1" t="str">
        <f>INT(November10[[#Totals],[Playtime (Minutes)]]/60)&amp;" hrs  "&amp;INT(MOD(November10[[#Totals],[Playtime (Minutes)]],60))&amp;" mins"</f>
        <v>3 hrs  58 mins</v>
      </c>
    </row>
    <row r="12" spans="1:26" x14ac:dyDescent="0.25">
      <c r="A12">
        <v>25</v>
      </c>
      <c r="B1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>
        <v>14</v>
      </c>
      <c r="P12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  <c r="V12">
        <f>November10[[#Totals],[Playtime (Minutes)]]/November10[[#Totals],[Games]]</f>
        <v>11.9</v>
      </c>
      <c r="W12">
        <f>November10[[#Totals],[Points]]/November10[[#Totals],[Games]]</f>
        <v>6.7</v>
      </c>
      <c r="X12">
        <f>November10[[#Totals],[Playtime (Minutes)]]/November10[[#Totals],[Points]]</f>
        <v>1.7761194029850746</v>
      </c>
      <c r="Y12">
        <f>November10[[#Totals],[Points]]/November10[[#Totals],[Playtime (Minutes)]]</f>
        <v>0.56302521008403361</v>
      </c>
    </row>
    <row r="13" spans="1:26" x14ac:dyDescent="0.25">
      <c r="A13">
        <v>2</v>
      </c>
      <c r="B13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O13">
        <f>SUM(November9[Points])</f>
        <v>71</v>
      </c>
      <c r="P13">
        <f>SUM(November9[Games])</f>
        <v>18</v>
      </c>
      <c r="S13">
        <f>SUM(November9[Playtime (Minutes)])</f>
        <v>232</v>
      </c>
    </row>
    <row r="14" spans="1:26" x14ac:dyDescent="0.25">
      <c r="A14">
        <v>6</v>
      </c>
      <c r="B14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O14" t="s">
        <v>21</v>
      </c>
      <c r="P14" t="s">
        <v>14</v>
      </c>
      <c r="Q14" t="s">
        <v>15</v>
      </c>
      <c r="R14" t="s">
        <v>16</v>
      </c>
      <c r="S14" s="1" t="str">
        <f>INT(November9[[#Totals],[Playtime (Minutes)]]/60)&amp;" hrs  "&amp;INT(MOD(November9[[#Totals],[Playtime (Minutes)]],60))&amp;" mins"</f>
        <v>3 hrs  52 mins</v>
      </c>
    </row>
    <row r="15" spans="1:26" x14ac:dyDescent="0.25">
      <c r="A15">
        <v>2</v>
      </c>
      <c r="B15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  <c r="O15">
        <f>November9[[#Totals],[Playtime (Minutes)]]/November9[[#Totals],[Games]]</f>
        <v>12.888888888888889</v>
      </c>
      <c r="P15">
        <f>November9[[#Totals],[Points]]/November9[[#Totals],[Games]]</f>
        <v>3.9444444444444446</v>
      </c>
      <c r="Q15">
        <f>November9[[#Totals],[Playtime (Minutes)]]/November9[[#Totals],[Points]]</f>
        <v>3.267605633802817</v>
      </c>
      <c r="R15">
        <f>November9[[#Totals],[Points]]/November9[[#Totals],[Playtime (Minutes)]]</f>
        <v>0.30603448275862066</v>
      </c>
    </row>
    <row r="16" spans="1:26" x14ac:dyDescent="0.25">
      <c r="A16">
        <v>2</v>
      </c>
      <c r="B16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7" spans="1:5" x14ac:dyDescent="0.25">
      <c r="A17">
        <v>2</v>
      </c>
      <c r="B17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8" spans="1:5" x14ac:dyDescent="0.25">
      <c r="A18">
        <v>6</v>
      </c>
      <c r="B18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9" spans="1:5" x14ac:dyDescent="0.25">
      <c r="A19">
        <v>2</v>
      </c>
      <c r="B19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0" spans="1:5" x14ac:dyDescent="0.25">
      <c r="A20">
        <v>2</v>
      </c>
      <c r="B20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1" spans="1:5" x14ac:dyDescent="0.25">
      <c r="A21">
        <v>6</v>
      </c>
      <c r="B21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2" spans="1:5" x14ac:dyDescent="0.25">
      <c r="A22">
        <v>2</v>
      </c>
      <c r="B2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5" x14ac:dyDescent="0.25">
      <c r="A23">
        <v>2</v>
      </c>
      <c r="B23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4" spans="1:5" x14ac:dyDescent="0.25">
      <c r="A24">
        <v>25</v>
      </c>
      <c r="B24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5" spans="1:5" x14ac:dyDescent="0.25">
      <c r="A25">
        <f>SUM(November6[Points])</f>
        <v>141</v>
      </c>
      <c r="B25">
        <f>SUM(November6[Games])</f>
        <v>34</v>
      </c>
      <c r="E25">
        <f>SUM(November6[Playtime (Minutes)])</f>
        <v>445</v>
      </c>
    </row>
    <row r="26" spans="1:5" x14ac:dyDescent="0.25">
      <c r="A26" t="s">
        <v>21</v>
      </c>
      <c r="B26" t="s">
        <v>14</v>
      </c>
      <c r="C26" t="s">
        <v>15</v>
      </c>
      <c r="D26" t="s">
        <v>16</v>
      </c>
      <c r="E26" s="1" t="str">
        <f>INT(November6[[#Totals],[Playtime (Minutes)]]/60)&amp;" hrs  "&amp;INT(MOD(November6[[#Totals],[Playtime (Minutes)]],60))&amp;" mins"</f>
        <v>7 hrs  25 mins</v>
      </c>
    </row>
    <row r="27" spans="1:5" x14ac:dyDescent="0.25">
      <c r="A27">
        <f>November6[[#Totals],[Playtime (Minutes)]]/November6[[#Totals],[Games]]</f>
        <v>13.088235294117647</v>
      </c>
      <c r="B27">
        <f>November6[[#Totals],[Points]]/November6[[#Totals],[Games]]</f>
        <v>4.1470588235294121</v>
      </c>
      <c r="C27">
        <f>November6[[#Totals],[Playtime (Minutes)]]/November6[[#Totals],[Points]]</f>
        <v>3.1560283687943262</v>
      </c>
      <c r="D27">
        <f>November6[[#Totals],[Points]]/November6[[#Totals],[Playtime (Minutes)]]</f>
        <v>0.31685393258426964</v>
      </c>
    </row>
  </sheetData>
  <mergeCells count="4">
    <mergeCell ref="A1:E1"/>
    <mergeCell ref="H1:L1"/>
    <mergeCell ref="O1:S1"/>
    <mergeCell ref="V1:Z1"/>
  </mergeCells>
  <phoneticPr fontId="2" type="noConversion"/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2025-11-10T20:49:22Z</dcterms:modified>
</cp:coreProperties>
</file>